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51F33F75-A5AF-446E-904B-63601AA689F6}" xr6:coauthVersionLast="45" xr6:coauthVersionMax="45" xr10:uidLastSave="{00000000-0000-0000-0000-000000000000}"/>
  <bookViews>
    <workbookView xWindow="-109" yWindow="-109" windowWidth="26301" windowHeight="14305" firstSheet="4" activeTab="6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WaitAckCallback" sheetId="43" r:id="rId8"/>
    <sheet name="LoRa_TimerRetransmitCallback" sheetId="42" r:id="rId9"/>
    <sheet name="RADIO_RxDone" sheetId="28" r:id="rId10"/>
    <sheet name="LoRa_RxDone_OK" sheetId="29" r:id="rId11"/>
    <sheet name="LoRa_RxDone_Fail" sheetId="30" r:id="rId12"/>
    <sheet name="LoRa_TxDone_DATA" sheetId="31" r:id="rId13"/>
    <sheet name="RADIO_RxDone_DATA" sheetId="32" r:id="rId14"/>
    <sheet name="LoRa_RxDone_DATA_OK" sheetId="33" r:id="rId15"/>
    <sheet name="LoRa_RxDone_DATA_Fail" sheetId="34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35" l="1"/>
  <c r="D5" i="35"/>
  <c r="D3" i="35"/>
  <c r="C4" i="35"/>
  <c r="E4" i="35"/>
  <c r="F4" i="35"/>
  <c r="G4" i="35"/>
  <c r="H4" i="35"/>
  <c r="I4" i="35"/>
  <c r="D4" i="35" s="1"/>
  <c r="J4" i="35"/>
  <c r="C5" i="35"/>
  <c r="E5" i="35"/>
  <c r="F5" i="35"/>
  <c r="G5" i="35"/>
  <c r="H5" i="35"/>
  <c r="I5" i="35"/>
  <c r="J5" i="35"/>
  <c r="C6" i="35"/>
  <c r="D6" i="35"/>
  <c r="E6" i="35"/>
  <c r="F6" i="35"/>
  <c r="G6" i="35"/>
  <c r="H6" i="35"/>
  <c r="I6" i="35"/>
  <c r="J6" i="35"/>
  <c r="G7" i="35"/>
  <c r="H7" i="35"/>
  <c r="I7" i="35"/>
  <c r="J7" i="35"/>
  <c r="G8" i="35"/>
  <c r="H8" i="35"/>
  <c r="J8" i="35"/>
  <c r="G9" i="35"/>
  <c r="H9" i="35"/>
  <c r="J9" i="35"/>
  <c r="G10" i="35"/>
  <c r="H10" i="35"/>
  <c r="J10" i="35"/>
  <c r="G11" i="35"/>
  <c r="H11" i="35"/>
  <c r="I11" i="35"/>
  <c r="J11" i="35"/>
  <c r="G12" i="35"/>
  <c r="H12" i="35"/>
  <c r="I12" i="35"/>
  <c r="J12" i="35"/>
  <c r="G13" i="35"/>
  <c r="H13" i="35"/>
  <c r="I13" i="35"/>
  <c r="J13" i="35"/>
  <c r="G14" i="35"/>
  <c r="H14" i="35"/>
  <c r="I14" i="35"/>
  <c r="J14" i="35"/>
  <c r="G15" i="35"/>
  <c r="H15" i="35"/>
  <c r="I15" i="35"/>
  <c r="J15" i="35"/>
  <c r="G16" i="35"/>
  <c r="H16" i="35"/>
  <c r="I16" i="35"/>
  <c r="J16" i="35"/>
  <c r="G17" i="35"/>
  <c r="H17" i="35"/>
  <c r="I17" i="35"/>
  <c r="J17" i="35"/>
  <c r="G18" i="35"/>
  <c r="H18" i="35"/>
  <c r="I18" i="35"/>
  <c r="J18" i="35"/>
  <c r="G19" i="35"/>
  <c r="H19" i="35"/>
  <c r="I19" i="35"/>
  <c r="J19" i="35"/>
  <c r="G20" i="35"/>
  <c r="H20" i="35"/>
  <c r="I20" i="35"/>
  <c r="J20" i="35"/>
  <c r="G21" i="35"/>
  <c r="H21" i="35"/>
  <c r="I21" i="35"/>
  <c r="J21" i="35"/>
  <c r="G22" i="35"/>
  <c r="H22" i="35"/>
  <c r="I22" i="35"/>
  <c r="J22" i="35"/>
  <c r="G23" i="35"/>
  <c r="H23" i="35"/>
  <c r="I23" i="35"/>
  <c r="J23" i="35"/>
  <c r="G24" i="35"/>
  <c r="H24" i="35"/>
  <c r="I24" i="35"/>
  <c r="J24" i="35"/>
  <c r="C25" i="35"/>
  <c r="D25" i="35"/>
  <c r="E25" i="35"/>
  <c r="F25" i="35"/>
  <c r="G25" i="35"/>
  <c r="H25" i="35"/>
  <c r="I25" i="35"/>
  <c r="J25" i="35"/>
  <c r="C26" i="35"/>
  <c r="E26" i="35"/>
  <c r="F26" i="35"/>
  <c r="G26" i="35"/>
  <c r="H26" i="35"/>
  <c r="I26" i="35"/>
  <c r="J26" i="35"/>
  <c r="C27" i="35"/>
  <c r="E27" i="35"/>
  <c r="F27" i="35"/>
  <c r="G27" i="35"/>
  <c r="H27" i="35"/>
  <c r="I27" i="35"/>
  <c r="J27" i="35"/>
  <c r="C28" i="35"/>
  <c r="D28" i="35"/>
  <c r="E28" i="35"/>
  <c r="F28" i="35"/>
  <c r="G28" i="35"/>
  <c r="H28" i="35"/>
  <c r="I28" i="35"/>
  <c r="J28" i="35"/>
  <c r="C29" i="35"/>
  <c r="D29" i="35"/>
  <c r="E29" i="35"/>
  <c r="F29" i="35"/>
  <c r="G29" i="35"/>
  <c r="H29" i="35"/>
  <c r="I29" i="35"/>
  <c r="J29" i="35"/>
  <c r="C30" i="35"/>
  <c r="D30" i="35"/>
  <c r="E30" i="35"/>
  <c r="F30" i="35"/>
  <c r="G30" i="35"/>
  <c r="H30" i="35"/>
  <c r="I30" i="35"/>
  <c r="J30" i="35"/>
  <c r="C31" i="35"/>
  <c r="D31" i="35"/>
  <c r="E31" i="35"/>
  <c r="F31" i="35"/>
  <c r="G31" i="35"/>
  <c r="H31" i="35"/>
  <c r="I31" i="35"/>
  <c r="J31" i="35"/>
  <c r="C32" i="35"/>
  <c r="D32" i="35"/>
  <c r="E32" i="35"/>
  <c r="F32" i="35"/>
  <c r="G32" i="35"/>
  <c r="H32" i="35"/>
  <c r="I32" i="35"/>
  <c r="J32" i="35"/>
  <c r="C33" i="35"/>
  <c r="D33" i="35"/>
  <c r="E33" i="35"/>
  <c r="F33" i="35"/>
  <c r="G33" i="35"/>
  <c r="H33" i="35"/>
  <c r="I33" i="35"/>
  <c r="J33" i="35"/>
  <c r="C34" i="35"/>
  <c r="D34" i="35"/>
  <c r="E34" i="35"/>
  <c r="F34" i="35"/>
  <c r="G34" i="35"/>
  <c r="H34" i="35"/>
  <c r="I34" i="35"/>
  <c r="J34" i="35"/>
  <c r="C35" i="35"/>
  <c r="D35" i="35"/>
  <c r="E35" i="35"/>
  <c r="F35" i="35"/>
  <c r="G35" i="35"/>
  <c r="H35" i="35"/>
  <c r="I35" i="35"/>
  <c r="J35" i="35"/>
  <c r="C36" i="35"/>
  <c r="D36" i="35"/>
  <c r="E36" i="35"/>
  <c r="F36" i="35"/>
  <c r="G36" i="35"/>
  <c r="H36" i="35"/>
  <c r="I36" i="35"/>
  <c r="J36" i="35"/>
  <c r="C37" i="35"/>
  <c r="D37" i="35"/>
  <c r="E37" i="35"/>
  <c r="F37" i="35"/>
  <c r="G37" i="35"/>
  <c r="H37" i="35"/>
  <c r="I37" i="35"/>
  <c r="J37" i="35"/>
  <c r="C38" i="35"/>
  <c r="D38" i="35"/>
  <c r="E38" i="35"/>
  <c r="F38" i="35"/>
  <c r="G38" i="35"/>
  <c r="H38" i="35"/>
  <c r="I38" i="35"/>
  <c r="J38" i="35"/>
  <c r="C39" i="35"/>
  <c r="D39" i="35"/>
  <c r="E39" i="35"/>
  <c r="F39" i="35"/>
  <c r="G39" i="35"/>
  <c r="H39" i="35"/>
  <c r="I39" i="35"/>
  <c r="J39" i="35"/>
  <c r="C40" i="35"/>
  <c r="D40" i="35"/>
  <c r="E40" i="35"/>
  <c r="F40" i="35"/>
  <c r="G40" i="35"/>
  <c r="H40" i="35"/>
  <c r="I40" i="35"/>
  <c r="J40" i="35"/>
  <c r="C41" i="35"/>
  <c r="D41" i="35"/>
  <c r="E41" i="35"/>
  <c r="F41" i="35"/>
  <c r="G41" i="35"/>
  <c r="H41" i="35"/>
  <c r="I41" i="35"/>
  <c r="J41" i="35"/>
  <c r="C42" i="35"/>
  <c r="D42" i="35"/>
  <c r="E42" i="35"/>
  <c r="F42" i="35"/>
  <c r="G42" i="35"/>
  <c r="H42" i="35"/>
  <c r="I42" i="35"/>
  <c r="J42" i="35"/>
  <c r="C43" i="35"/>
  <c r="D43" i="35"/>
  <c r="E43" i="35"/>
  <c r="F43" i="35"/>
  <c r="G43" i="35"/>
  <c r="H43" i="35"/>
  <c r="I43" i="35"/>
  <c r="J43" i="35"/>
  <c r="C44" i="35"/>
  <c r="D44" i="35"/>
  <c r="E44" i="35"/>
  <c r="F44" i="35"/>
  <c r="G44" i="35"/>
  <c r="H44" i="35"/>
  <c r="I44" i="35"/>
  <c r="J44" i="35"/>
  <c r="C45" i="35"/>
  <c r="D45" i="35"/>
  <c r="E45" i="35"/>
  <c r="F45" i="35"/>
  <c r="G45" i="35"/>
  <c r="H45" i="35"/>
  <c r="I45" i="35"/>
  <c r="J45" i="35"/>
  <c r="C46" i="35"/>
  <c r="D46" i="35"/>
  <c r="E46" i="35"/>
  <c r="F46" i="35"/>
  <c r="G46" i="35"/>
  <c r="H46" i="35"/>
  <c r="I46" i="35"/>
  <c r="J46" i="35"/>
  <c r="C47" i="35"/>
  <c r="D47" i="35"/>
  <c r="E47" i="35"/>
  <c r="F47" i="35"/>
  <c r="G47" i="35"/>
  <c r="H47" i="35"/>
  <c r="C48" i="35"/>
  <c r="D48" i="35"/>
  <c r="E48" i="35"/>
  <c r="F48" i="35"/>
  <c r="G48" i="35"/>
  <c r="H48" i="35"/>
  <c r="I48" i="35"/>
  <c r="C49" i="35"/>
  <c r="D49" i="35"/>
  <c r="E49" i="35"/>
  <c r="F49" i="35"/>
  <c r="G49" i="35"/>
  <c r="H49" i="35"/>
  <c r="I49" i="35"/>
  <c r="C50" i="35"/>
  <c r="D50" i="35"/>
  <c r="E50" i="35"/>
  <c r="F50" i="35"/>
  <c r="G50" i="35"/>
  <c r="H50" i="35"/>
  <c r="I50" i="35"/>
  <c r="C51" i="35"/>
  <c r="D51" i="35"/>
  <c r="E51" i="35"/>
  <c r="F51" i="35"/>
  <c r="G51" i="35"/>
  <c r="H51" i="35"/>
  <c r="I51" i="35"/>
  <c r="C52" i="35"/>
  <c r="D52" i="35"/>
  <c r="E52" i="35"/>
  <c r="F52" i="35"/>
  <c r="G52" i="35"/>
  <c r="H52" i="35"/>
  <c r="I52" i="35"/>
  <c r="J52" i="35"/>
  <c r="C53" i="35"/>
  <c r="D53" i="35"/>
  <c r="E53" i="35"/>
  <c r="F53" i="35"/>
  <c r="G53" i="35"/>
  <c r="H53" i="35"/>
  <c r="I53" i="35"/>
  <c r="J53" i="35"/>
  <c r="C54" i="35"/>
  <c r="D54" i="35"/>
  <c r="E54" i="35"/>
  <c r="F54" i="35"/>
  <c r="G54" i="35"/>
  <c r="H54" i="35"/>
  <c r="I54" i="35"/>
  <c r="J54" i="35"/>
  <c r="C55" i="35"/>
  <c r="D55" i="35"/>
  <c r="E55" i="35"/>
  <c r="F55" i="35"/>
  <c r="G55" i="35"/>
  <c r="H55" i="35"/>
  <c r="J55" i="35"/>
  <c r="C56" i="35"/>
  <c r="D56" i="35"/>
  <c r="E56" i="35"/>
  <c r="F56" i="35"/>
  <c r="G56" i="35"/>
  <c r="H56" i="35"/>
  <c r="I56" i="35"/>
  <c r="J56" i="35"/>
  <c r="C57" i="35"/>
  <c r="D57" i="35"/>
  <c r="E57" i="35"/>
  <c r="F57" i="35"/>
  <c r="G57" i="35"/>
  <c r="H57" i="35"/>
  <c r="J57" i="35"/>
  <c r="C58" i="35"/>
  <c r="D58" i="35"/>
  <c r="E58" i="35"/>
  <c r="F58" i="35"/>
  <c r="G58" i="35"/>
  <c r="H58" i="35"/>
  <c r="I58" i="35"/>
  <c r="J58" i="35"/>
  <c r="C59" i="35"/>
  <c r="D59" i="35"/>
  <c r="E59" i="35"/>
  <c r="F59" i="35"/>
  <c r="G59" i="35"/>
  <c r="H59" i="35"/>
  <c r="I59" i="35"/>
  <c r="J59" i="35"/>
  <c r="C60" i="35"/>
  <c r="D60" i="35"/>
  <c r="E60" i="35"/>
  <c r="F60" i="35"/>
  <c r="G60" i="35"/>
  <c r="H60" i="35"/>
  <c r="I60" i="35"/>
  <c r="J60" i="35"/>
  <c r="C61" i="35"/>
  <c r="D61" i="35"/>
  <c r="E61" i="35"/>
  <c r="F61" i="35"/>
  <c r="G61" i="35"/>
  <c r="H61" i="35"/>
  <c r="I61" i="35"/>
  <c r="J61" i="35"/>
  <c r="C62" i="35"/>
  <c r="D62" i="35"/>
  <c r="E62" i="35"/>
  <c r="F62" i="35"/>
  <c r="G62" i="35"/>
  <c r="H62" i="35"/>
  <c r="I62" i="35"/>
  <c r="J62" i="35"/>
  <c r="C63" i="35"/>
  <c r="D63" i="35"/>
  <c r="E63" i="35"/>
  <c r="F63" i="35"/>
  <c r="G63" i="35"/>
  <c r="H63" i="35"/>
  <c r="I63" i="35"/>
  <c r="J63" i="35"/>
  <c r="C64" i="35"/>
  <c r="D64" i="35"/>
  <c r="E64" i="35"/>
  <c r="F64" i="35"/>
  <c r="G64" i="35"/>
  <c r="H64" i="35"/>
  <c r="I64" i="35"/>
  <c r="J64" i="35"/>
  <c r="C65" i="35"/>
  <c r="D65" i="35"/>
  <c r="E65" i="35"/>
  <c r="F65" i="35"/>
  <c r="G65" i="35"/>
  <c r="H65" i="35"/>
  <c r="I65" i="35"/>
  <c r="J65" i="35"/>
  <c r="C66" i="35"/>
  <c r="D66" i="35"/>
  <c r="E66" i="35"/>
  <c r="F66" i="35"/>
  <c r="G66" i="35"/>
  <c r="H66" i="35"/>
  <c r="I66" i="35"/>
  <c r="J66" i="35"/>
  <c r="C67" i="35"/>
  <c r="D67" i="35"/>
  <c r="E67" i="35"/>
  <c r="F67" i="35"/>
  <c r="G67" i="35"/>
  <c r="H67" i="35"/>
  <c r="I67" i="35"/>
  <c r="J67" i="35"/>
  <c r="C68" i="35"/>
  <c r="D68" i="35"/>
  <c r="E68" i="35"/>
  <c r="F68" i="35"/>
  <c r="G68" i="35"/>
  <c r="H68" i="35"/>
  <c r="I68" i="35"/>
  <c r="J68" i="35"/>
  <c r="C69" i="35"/>
  <c r="D69" i="35"/>
  <c r="E69" i="35"/>
  <c r="F69" i="35"/>
  <c r="G69" i="35"/>
  <c r="H69" i="35"/>
  <c r="I69" i="35"/>
  <c r="J69" i="35"/>
  <c r="C70" i="35"/>
  <c r="D70" i="35"/>
  <c r="E70" i="35"/>
  <c r="F70" i="35"/>
  <c r="G70" i="35"/>
  <c r="H70" i="35"/>
  <c r="I70" i="35"/>
  <c r="J70" i="35"/>
  <c r="C71" i="35"/>
  <c r="D71" i="35"/>
  <c r="E71" i="35"/>
  <c r="F71" i="35"/>
  <c r="G71" i="35"/>
  <c r="H71" i="35"/>
  <c r="I71" i="35"/>
  <c r="J71" i="35"/>
  <c r="C72" i="35"/>
  <c r="D72" i="35"/>
  <c r="E72" i="35"/>
  <c r="F72" i="35"/>
  <c r="G72" i="35"/>
  <c r="H72" i="35"/>
  <c r="I72" i="35"/>
  <c r="J72" i="35"/>
  <c r="C73" i="35"/>
  <c r="D73" i="35"/>
  <c r="E73" i="35"/>
  <c r="F73" i="35"/>
  <c r="G73" i="35"/>
  <c r="H73" i="35"/>
  <c r="I73" i="35"/>
  <c r="J73" i="35"/>
  <c r="C74" i="35"/>
  <c r="D74" i="35"/>
  <c r="E74" i="35"/>
  <c r="F74" i="35"/>
  <c r="G74" i="35"/>
  <c r="H74" i="35"/>
  <c r="I74" i="35"/>
  <c r="J74" i="35"/>
  <c r="C75" i="35"/>
  <c r="D75" i="35"/>
  <c r="E75" i="35"/>
  <c r="F75" i="35"/>
  <c r="G75" i="35"/>
  <c r="H75" i="35"/>
  <c r="I75" i="35"/>
  <c r="J75" i="35"/>
  <c r="C76" i="35"/>
  <c r="D76" i="35"/>
  <c r="E76" i="35"/>
  <c r="F76" i="35"/>
  <c r="G76" i="35"/>
  <c r="H76" i="35"/>
  <c r="I76" i="35"/>
  <c r="J76" i="35"/>
  <c r="C77" i="35"/>
  <c r="D77" i="35"/>
  <c r="E77" i="35"/>
  <c r="F77" i="35"/>
  <c r="G77" i="35"/>
  <c r="H77" i="35"/>
  <c r="I77" i="35"/>
  <c r="J77" i="35"/>
  <c r="E3" i="35"/>
  <c r="F3" i="35"/>
  <c r="G3" i="35"/>
  <c r="H3" i="35"/>
  <c r="J3" i="35"/>
  <c r="C3" i="35"/>
  <c r="J78" i="43"/>
  <c r="I78" i="43"/>
  <c r="H78" i="43"/>
  <c r="G78" i="43"/>
  <c r="F78" i="43"/>
  <c r="E78" i="43"/>
  <c r="D78" i="43"/>
  <c r="C78" i="43"/>
  <c r="J77" i="43"/>
  <c r="I77" i="43"/>
  <c r="H77" i="43"/>
  <c r="G77" i="43"/>
  <c r="F77" i="43"/>
  <c r="E77" i="43"/>
  <c r="D77" i="43"/>
  <c r="C77" i="43"/>
  <c r="J76" i="43"/>
  <c r="I76" i="43"/>
  <c r="H76" i="43"/>
  <c r="G76" i="43"/>
  <c r="F76" i="43"/>
  <c r="E76" i="43"/>
  <c r="D76" i="43"/>
  <c r="C76" i="43"/>
  <c r="J75" i="43"/>
  <c r="I75" i="43"/>
  <c r="H75" i="43"/>
  <c r="G75" i="43"/>
  <c r="F75" i="43"/>
  <c r="E75" i="43"/>
  <c r="D75" i="43"/>
  <c r="C75" i="43"/>
  <c r="J74" i="43"/>
  <c r="I74" i="43"/>
  <c r="H74" i="43"/>
  <c r="G74" i="43"/>
  <c r="F74" i="43"/>
  <c r="E74" i="43"/>
  <c r="D74" i="43"/>
  <c r="C74" i="43"/>
  <c r="J73" i="43"/>
  <c r="I73" i="43"/>
  <c r="H73" i="43"/>
  <c r="G73" i="43"/>
  <c r="F73" i="43"/>
  <c r="E73" i="43"/>
  <c r="D73" i="43"/>
  <c r="C73" i="43"/>
  <c r="J72" i="43"/>
  <c r="I72" i="43"/>
  <c r="H72" i="43"/>
  <c r="G72" i="43"/>
  <c r="F72" i="43"/>
  <c r="E72" i="43"/>
  <c r="D72" i="43"/>
  <c r="C72" i="43"/>
  <c r="J71" i="43"/>
  <c r="I71" i="43"/>
  <c r="H71" i="43"/>
  <c r="G71" i="43"/>
  <c r="F71" i="43"/>
  <c r="E71" i="43"/>
  <c r="D71" i="43"/>
  <c r="C71" i="43"/>
  <c r="J70" i="43"/>
  <c r="I70" i="43"/>
  <c r="H70" i="43"/>
  <c r="G70" i="43"/>
  <c r="F70" i="43"/>
  <c r="E70" i="43"/>
  <c r="D70" i="43"/>
  <c r="C70" i="43"/>
  <c r="J69" i="43"/>
  <c r="I69" i="43"/>
  <c r="H69" i="43"/>
  <c r="G69" i="43"/>
  <c r="F69" i="43"/>
  <c r="E69" i="43"/>
  <c r="D69" i="43"/>
  <c r="C69" i="43"/>
  <c r="J68" i="43"/>
  <c r="I68" i="43"/>
  <c r="H68" i="43"/>
  <c r="G68" i="43"/>
  <c r="F68" i="43"/>
  <c r="E68" i="43"/>
  <c r="D68" i="43"/>
  <c r="C68" i="43"/>
  <c r="J67" i="43"/>
  <c r="I67" i="43"/>
  <c r="H67" i="43"/>
  <c r="G67" i="43"/>
  <c r="F67" i="43"/>
  <c r="E67" i="43"/>
  <c r="D67" i="43"/>
  <c r="C67" i="43"/>
  <c r="J66" i="43"/>
  <c r="I66" i="43"/>
  <c r="H66" i="43"/>
  <c r="G66" i="43"/>
  <c r="F66" i="43"/>
  <c r="E66" i="43"/>
  <c r="D66" i="43"/>
  <c r="C66" i="43"/>
  <c r="J65" i="43"/>
  <c r="I65" i="43"/>
  <c r="H65" i="43"/>
  <c r="G65" i="43"/>
  <c r="F65" i="43"/>
  <c r="E65" i="43"/>
  <c r="D65" i="43"/>
  <c r="C65" i="43"/>
  <c r="J64" i="43"/>
  <c r="I64" i="43"/>
  <c r="H64" i="43"/>
  <c r="G64" i="43"/>
  <c r="F64" i="43"/>
  <c r="E64" i="43"/>
  <c r="D64" i="43"/>
  <c r="C64" i="43"/>
  <c r="J63" i="43"/>
  <c r="I63" i="43"/>
  <c r="H63" i="43"/>
  <c r="G63" i="43"/>
  <c r="F63" i="43"/>
  <c r="E63" i="43"/>
  <c r="D63" i="43"/>
  <c r="C63" i="43"/>
  <c r="J62" i="43"/>
  <c r="I62" i="43"/>
  <c r="H62" i="43"/>
  <c r="G62" i="43"/>
  <c r="F62" i="43"/>
  <c r="E62" i="43"/>
  <c r="D62" i="43"/>
  <c r="C62" i="43"/>
  <c r="J61" i="43"/>
  <c r="I61" i="43"/>
  <c r="H61" i="43"/>
  <c r="G61" i="43"/>
  <c r="F61" i="43"/>
  <c r="E61" i="43"/>
  <c r="D61" i="43"/>
  <c r="C61" i="43"/>
  <c r="J60" i="43"/>
  <c r="I60" i="43"/>
  <c r="H60" i="43"/>
  <c r="G60" i="43"/>
  <c r="F60" i="43"/>
  <c r="E60" i="43"/>
  <c r="D60" i="43"/>
  <c r="C60" i="43"/>
  <c r="J59" i="43"/>
  <c r="I59" i="43"/>
  <c r="H59" i="43"/>
  <c r="G59" i="43"/>
  <c r="F59" i="43"/>
  <c r="E59" i="43"/>
  <c r="D59" i="43"/>
  <c r="C59" i="43"/>
  <c r="J58" i="43"/>
  <c r="I58" i="43"/>
  <c r="H58" i="43"/>
  <c r="G58" i="43"/>
  <c r="F58" i="43"/>
  <c r="E58" i="43"/>
  <c r="D58" i="43"/>
  <c r="C58" i="43"/>
  <c r="J57" i="43"/>
  <c r="I57" i="43"/>
  <c r="H57" i="43"/>
  <c r="G57" i="43"/>
  <c r="F57" i="43"/>
  <c r="E57" i="43"/>
  <c r="D57" i="43"/>
  <c r="C57" i="43"/>
  <c r="J56" i="43"/>
  <c r="I56" i="43"/>
  <c r="H56" i="43"/>
  <c r="G56" i="43"/>
  <c r="F56" i="43"/>
  <c r="E56" i="43"/>
  <c r="D56" i="43"/>
  <c r="C56" i="43"/>
  <c r="J55" i="43"/>
  <c r="I55" i="43"/>
  <c r="H55" i="43"/>
  <c r="G55" i="43"/>
  <c r="F55" i="43"/>
  <c r="E55" i="43"/>
  <c r="D55" i="43"/>
  <c r="C55" i="43"/>
  <c r="J54" i="43"/>
  <c r="I54" i="43"/>
  <c r="H54" i="43"/>
  <c r="G54" i="43"/>
  <c r="F54" i="43"/>
  <c r="E54" i="43"/>
  <c r="D54" i="43"/>
  <c r="C54" i="43"/>
  <c r="J53" i="43"/>
  <c r="I53" i="43"/>
  <c r="H53" i="43"/>
  <c r="G53" i="43"/>
  <c r="F53" i="43"/>
  <c r="E53" i="43"/>
  <c r="D53" i="43"/>
  <c r="C53" i="43"/>
  <c r="J52" i="43"/>
  <c r="I52" i="43"/>
  <c r="H52" i="43"/>
  <c r="G52" i="43"/>
  <c r="F52" i="43"/>
  <c r="E52" i="43"/>
  <c r="D52" i="43"/>
  <c r="C52" i="43"/>
  <c r="J51" i="43"/>
  <c r="I51" i="43"/>
  <c r="H51" i="43"/>
  <c r="G51" i="43"/>
  <c r="F51" i="43"/>
  <c r="E51" i="43"/>
  <c r="D51" i="43"/>
  <c r="C51" i="43"/>
  <c r="J50" i="43"/>
  <c r="I50" i="43"/>
  <c r="H50" i="43"/>
  <c r="G50" i="43"/>
  <c r="F50" i="43"/>
  <c r="E50" i="43"/>
  <c r="D50" i="43"/>
  <c r="C50" i="43"/>
  <c r="J49" i="43"/>
  <c r="I49" i="43"/>
  <c r="H49" i="43"/>
  <c r="G49" i="43"/>
  <c r="F49" i="43"/>
  <c r="E49" i="43"/>
  <c r="D49" i="43"/>
  <c r="C49" i="43"/>
  <c r="J48" i="43"/>
  <c r="I48" i="43"/>
  <c r="H48" i="43"/>
  <c r="G48" i="43"/>
  <c r="F48" i="43"/>
  <c r="E48" i="43"/>
  <c r="D48" i="43"/>
  <c r="C48" i="43"/>
  <c r="J47" i="43"/>
  <c r="I47" i="43"/>
  <c r="H47" i="43"/>
  <c r="G47" i="43"/>
  <c r="F47" i="43"/>
  <c r="E47" i="43"/>
  <c r="D47" i="43"/>
  <c r="C47" i="43"/>
  <c r="J46" i="43"/>
  <c r="I46" i="43"/>
  <c r="H46" i="43"/>
  <c r="G46" i="43"/>
  <c r="F46" i="43"/>
  <c r="E46" i="43"/>
  <c r="D46" i="43"/>
  <c r="C46" i="43"/>
  <c r="J45" i="43"/>
  <c r="I45" i="43"/>
  <c r="H45" i="43"/>
  <c r="G45" i="43"/>
  <c r="F45" i="43"/>
  <c r="E45" i="43"/>
  <c r="D45" i="43"/>
  <c r="C45" i="43"/>
  <c r="J44" i="43"/>
  <c r="I44" i="43"/>
  <c r="H44" i="43"/>
  <c r="G44" i="43"/>
  <c r="F44" i="43"/>
  <c r="E44" i="43"/>
  <c r="D44" i="43"/>
  <c r="C44" i="43"/>
  <c r="J43" i="43"/>
  <c r="I43" i="43"/>
  <c r="H43" i="43"/>
  <c r="G43" i="43"/>
  <c r="F43" i="43"/>
  <c r="E43" i="43"/>
  <c r="D43" i="43"/>
  <c r="C43" i="43"/>
  <c r="J42" i="43"/>
  <c r="I42" i="43"/>
  <c r="H42" i="43"/>
  <c r="G42" i="43"/>
  <c r="F42" i="43"/>
  <c r="E42" i="43"/>
  <c r="D42" i="43"/>
  <c r="C42" i="43"/>
  <c r="J41" i="43"/>
  <c r="I41" i="43"/>
  <c r="H41" i="43"/>
  <c r="G41" i="43"/>
  <c r="F41" i="43"/>
  <c r="E41" i="43"/>
  <c r="D41" i="43"/>
  <c r="C41" i="43"/>
  <c r="J40" i="43"/>
  <c r="I40" i="43"/>
  <c r="H40" i="43"/>
  <c r="G40" i="43"/>
  <c r="F40" i="43"/>
  <c r="E40" i="43"/>
  <c r="D40" i="43"/>
  <c r="C40" i="43"/>
  <c r="J39" i="43"/>
  <c r="I39" i="43"/>
  <c r="H39" i="43"/>
  <c r="G39" i="43"/>
  <c r="F39" i="43"/>
  <c r="E39" i="43"/>
  <c r="D39" i="43"/>
  <c r="C39" i="43"/>
  <c r="J38" i="43"/>
  <c r="I38" i="43"/>
  <c r="H38" i="43"/>
  <c r="G38" i="43"/>
  <c r="F38" i="43"/>
  <c r="E38" i="43"/>
  <c r="D38" i="43"/>
  <c r="C38" i="43"/>
  <c r="J37" i="43"/>
  <c r="I37" i="43"/>
  <c r="H37" i="43"/>
  <c r="G37" i="43"/>
  <c r="F37" i="43"/>
  <c r="E37" i="43"/>
  <c r="D37" i="43"/>
  <c r="C37" i="43"/>
  <c r="J36" i="43"/>
  <c r="I36" i="43"/>
  <c r="H36" i="43"/>
  <c r="G36" i="43"/>
  <c r="F36" i="43"/>
  <c r="E36" i="43"/>
  <c r="D36" i="43"/>
  <c r="C36" i="43"/>
  <c r="J35" i="43"/>
  <c r="I35" i="43"/>
  <c r="H35" i="43"/>
  <c r="G35" i="43"/>
  <c r="F35" i="43"/>
  <c r="E35" i="43"/>
  <c r="D35" i="43"/>
  <c r="C35" i="43"/>
  <c r="J34" i="43"/>
  <c r="I34" i="43"/>
  <c r="H34" i="43"/>
  <c r="G34" i="43"/>
  <c r="F34" i="43"/>
  <c r="E34" i="43"/>
  <c r="D34" i="43"/>
  <c r="C34" i="43"/>
  <c r="J33" i="43"/>
  <c r="I33" i="43"/>
  <c r="H33" i="43"/>
  <c r="G33" i="43"/>
  <c r="F33" i="43"/>
  <c r="E33" i="43"/>
  <c r="D33" i="43"/>
  <c r="C33" i="43"/>
  <c r="J32" i="43"/>
  <c r="I32" i="43"/>
  <c r="H32" i="43"/>
  <c r="G32" i="43"/>
  <c r="F32" i="43"/>
  <c r="E32" i="43"/>
  <c r="D32" i="43"/>
  <c r="C32" i="43"/>
  <c r="J31" i="43"/>
  <c r="I31" i="43"/>
  <c r="H31" i="43"/>
  <c r="G31" i="43"/>
  <c r="F31" i="43"/>
  <c r="E31" i="43"/>
  <c r="D31" i="43"/>
  <c r="C31" i="43"/>
  <c r="J30" i="43"/>
  <c r="I30" i="43"/>
  <c r="H30" i="43"/>
  <c r="G30" i="43"/>
  <c r="F30" i="43"/>
  <c r="E30" i="43"/>
  <c r="D30" i="43"/>
  <c r="C30" i="43"/>
  <c r="J29" i="43"/>
  <c r="I29" i="43"/>
  <c r="H29" i="43"/>
  <c r="G29" i="43"/>
  <c r="F29" i="43"/>
  <c r="E29" i="43"/>
  <c r="D29" i="43"/>
  <c r="C29" i="43"/>
  <c r="J28" i="43"/>
  <c r="I28" i="43"/>
  <c r="H28" i="43"/>
  <c r="G28" i="43"/>
  <c r="F28" i="43"/>
  <c r="E28" i="43"/>
  <c r="D28" i="43"/>
  <c r="C28" i="43"/>
  <c r="J27" i="43"/>
  <c r="I27" i="43"/>
  <c r="H27" i="43"/>
  <c r="G27" i="43"/>
  <c r="F27" i="43"/>
  <c r="E27" i="43"/>
  <c r="D27" i="43"/>
  <c r="C27" i="43"/>
  <c r="J26" i="43"/>
  <c r="I26" i="43"/>
  <c r="H26" i="43"/>
  <c r="G26" i="43"/>
  <c r="F26" i="43"/>
  <c r="E26" i="43"/>
  <c r="D26" i="43"/>
  <c r="C26" i="43"/>
  <c r="J25" i="43"/>
  <c r="I25" i="43"/>
  <c r="H25" i="43"/>
  <c r="G25" i="43"/>
  <c r="F25" i="43"/>
  <c r="E25" i="43"/>
  <c r="D25" i="43"/>
  <c r="C25" i="43"/>
  <c r="J24" i="43"/>
  <c r="I24" i="43"/>
  <c r="H24" i="43"/>
  <c r="G24" i="43"/>
  <c r="J23" i="43"/>
  <c r="I23" i="43"/>
  <c r="H23" i="43"/>
  <c r="G23" i="43"/>
  <c r="J22" i="43"/>
  <c r="I22" i="43"/>
  <c r="H22" i="43"/>
  <c r="G22" i="43"/>
  <c r="J21" i="43"/>
  <c r="I21" i="43"/>
  <c r="H21" i="43"/>
  <c r="G21" i="43"/>
  <c r="J20" i="43"/>
  <c r="I20" i="43"/>
  <c r="H20" i="43"/>
  <c r="G20" i="43"/>
  <c r="J19" i="43"/>
  <c r="I19" i="43"/>
  <c r="H19" i="43"/>
  <c r="G19" i="43"/>
  <c r="J18" i="43"/>
  <c r="I18" i="43"/>
  <c r="H18" i="43"/>
  <c r="G18" i="43"/>
  <c r="J17" i="43"/>
  <c r="I17" i="43"/>
  <c r="H17" i="43"/>
  <c r="G17" i="43"/>
  <c r="J16" i="43"/>
  <c r="I16" i="43"/>
  <c r="H16" i="43"/>
  <c r="G16" i="43"/>
  <c r="J15" i="43"/>
  <c r="I15" i="43"/>
  <c r="H15" i="43"/>
  <c r="G15" i="43"/>
  <c r="J14" i="43"/>
  <c r="I14" i="43"/>
  <c r="H14" i="43"/>
  <c r="G14" i="43"/>
  <c r="J13" i="43"/>
  <c r="I13" i="43"/>
  <c r="H13" i="43"/>
  <c r="G13" i="43"/>
  <c r="J12" i="43"/>
  <c r="I12" i="43"/>
  <c r="H12" i="43"/>
  <c r="G12" i="43"/>
  <c r="J11" i="43"/>
  <c r="I11" i="43"/>
  <c r="H11" i="43"/>
  <c r="G11" i="43"/>
  <c r="J10" i="43"/>
  <c r="I10" i="43"/>
  <c r="H10" i="43"/>
  <c r="G10" i="43"/>
  <c r="J9" i="43"/>
  <c r="I9" i="43"/>
  <c r="H9" i="43"/>
  <c r="G9" i="43"/>
  <c r="J8" i="43"/>
  <c r="I8" i="43"/>
  <c r="H8" i="43"/>
  <c r="G8" i="43"/>
  <c r="J7" i="43"/>
  <c r="I7" i="43"/>
  <c r="H7" i="43"/>
  <c r="G7" i="43"/>
  <c r="J6" i="43"/>
  <c r="I6" i="43"/>
  <c r="H6" i="43"/>
  <c r="G6" i="43"/>
  <c r="F6" i="43"/>
  <c r="E6" i="43"/>
  <c r="D6" i="43"/>
  <c r="C6" i="43"/>
  <c r="J5" i="43"/>
  <c r="I5" i="43"/>
  <c r="H5" i="43"/>
  <c r="G5" i="43"/>
  <c r="F5" i="43"/>
  <c r="E5" i="43"/>
  <c r="D5" i="43"/>
  <c r="C5" i="43"/>
  <c r="J4" i="43"/>
  <c r="I4" i="43"/>
  <c r="D4" i="43" s="1"/>
  <c r="H4" i="43"/>
  <c r="G4" i="43"/>
  <c r="F4" i="43"/>
  <c r="E4" i="43"/>
  <c r="C4" i="43"/>
  <c r="J3" i="43"/>
  <c r="I3" i="43"/>
  <c r="D3" i="43" s="1"/>
  <c r="H3" i="43"/>
  <c r="G3" i="43"/>
  <c r="F3" i="43"/>
  <c r="E3" i="43"/>
  <c r="C3" i="43"/>
  <c r="J78" i="42"/>
  <c r="I78" i="42"/>
  <c r="H78" i="42"/>
  <c r="G78" i="42"/>
  <c r="F78" i="42"/>
  <c r="E78" i="42"/>
  <c r="D78" i="42"/>
  <c r="C78" i="42"/>
  <c r="J77" i="42"/>
  <c r="I77" i="42"/>
  <c r="H77" i="42"/>
  <c r="G77" i="42"/>
  <c r="F77" i="42"/>
  <c r="E77" i="42"/>
  <c r="D77" i="42"/>
  <c r="C77" i="42"/>
  <c r="J76" i="42"/>
  <c r="I76" i="42"/>
  <c r="H76" i="42"/>
  <c r="G76" i="42"/>
  <c r="F76" i="42"/>
  <c r="E76" i="42"/>
  <c r="D76" i="42"/>
  <c r="C76" i="42"/>
  <c r="J75" i="42"/>
  <c r="I75" i="42"/>
  <c r="H75" i="42"/>
  <c r="G75" i="42"/>
  <c r="F75" i="42"/>
  <c r="E75" i="42"/>
  <c r="D75" i="42"/>
  <c r="C75" i="42"/>
  <c r="J74" i="42"/>
  <c r="I74" i="42"/>
  <c r="H74" i="42"/>
  <c r="G74" i="42"/>
  <c r="F74" i="42"/>
  <c r="E74" i="42"/>
  <c r="D74" i="42"/>
  <c r="C74" i="42"/>
  <c r="J73" i="42"/>
  <c r="I73" i="42"/>
  <c r="H73" i="42"/>
  <c r="G73" i="42"/>
  <c r="F73" i="42"/>
  <c r="E73" i="42"/>
  <c r="D73" i="42"/>
  <c r="C73" i="42"/>
  <c r="J72" i="42"/>
  <c r="I72" i="42"/>
  <c r="H72" i="42"/>
  <c r="G72" i="42"/>
  <c r="F72" i="42"/>
  <c r="E72" i="42"/>
  <c r="D72" i="42"/>
  <c r="C72" i="42"/>
  <c r="J71" i="42"/>
  <c r="I71" i="42"/>
  <c r="H71" i="42"/>
  <c r="G71" i="42"/>
  <c r="F71" i="42"/>
  <c r="E71" i="42"/>
  <c r="D71" i="42"/>
  <c r="C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I55" i="42"/>
  <c r="J51" i="42"/>
  <c r="J50" i="42"/>
  <c r="J49" i="42"/>
  <c r="I49" i="42"/>
  <c r="J48" i="42"/>
  <c r="I48" i="42"/>
  <c r="J47" i="42"/>
  <c r="I47" i="42"/>
  <c r="I45" i="42"/>
  <c r="J44" i="42"/>
  <c r="I44" i="42"/>
  <c r="J43" i="42"/>
  <c r="I43" i="42"/>
  <c r="J42" i="42"/>
  <c r="I42" i="42"/>
  <c r="J41" i="42"/>
  <c r="I41" i="42"/>
  <c r="J40" i="42"/>
  <c r="D40" i="42"/>
  <c r="J39" i="42"/>
  <c r="J38" i="42"/>
  <c r="I38" i="42"/>
  <c r="J37" i="42"/>
  <c r="J36" i="42"/>
  <c r="D36" i="42"/>
  <c r="J35" i="42"/>
  <c r="D35" i="42"/>
  <c r="I34" i="42"/>
  <c r="D34" i="42"/>
  <c r="J33" i="42"/>
  <c r="D33" i="42"/>
  <c r="J32" i="42"/>
  <c r="D32" i="42"/>
  <c r="J31" i="42"/>
  <c r="D31" i="42"/>
  <c r="J30" i="42"/>
  <c r="D30" i="42"/>
  <c r="J29" i="42"/>
  <c r="D29" i="42"/>
  <c r="J28" i="42"/>
  <c r="D28" i="42"/>
  <c r="D27" i="42"/>
  <c r="J26" i="42"/>
  <c r="D26" i="42"/>
  <c r="J25" i="42"/>
  <c r="J24" i="42"/>
  <c r="J22" i="42"/>
  <c r="J20" i="42"/>
  <c r="J18" i="42"/>
  <c r="J16" i="42"/>
  <c r="J14" i="42"/>
  <c r="J12" i="42"/>
  <c r="J10" i="42"/>
  <c r="J8" i="42"/>
  <c r="I8" i="42"/>
  <c r="J6" i="42"/>
  <c r="I6" i="42"/>
  <c r="J5" i="42"/>
  <c r="D5" i="42"/>
  <c r="J4" i="42"/>
  <c r="I4" i="42"/>
  <c r="D4" i="42"/>
  <c r="J3" i="42"/>
  <c r="I3" i="42"/>
  <c r="D3" i="42"/>
  <c r="D27" i="33"/>
  <c r="D35" i="33"/>
  <c r="D36" i="33"/>
  <c r="D34" i="33"/>
  <c r="D31" i="33"/>
  <c r="D32" i="33"/>
  <c r="D33" i="33"/>
  <c r="D30" i="33"/>
  <c r="D28" i="33"/>
  <c r="D5" i="33"/>
  <c r="D4" i="33"/>
  <c r="D3" i="33"/>
  <c r="I6" i="33"/>
  <c r="I8" i="33"/>
  <c r="I34" i="33"/>
  <c r="I38" i="33"/>
  <c r="I41" i="33"/>
  <c r="I42" i="33"/>
  <c r="I43" i="33"/>
  <c r="I44" i="33"/>
  <c r="I45" i="33"/>
  <c r="I48" i="33"/>
  <c r="I49" i="33"/>
  <c r="I53" i="33"/>
  <c r="I54" i="33"/>
  <c r="I62" i="33"/>
  <c r="C71" i="33"/>
  <c r="D71" i="33"/>
  <c r="E71" i="33"/>
  <c r="F71" i="33"/>
  <c r="G71" i="33"/>
  <c r="H71" i="33"/>
  <c r="I71" i="33"/>
  <c r="J71" i="33"/>
  <c r="C72" i="33"/>
  <c r="D72" i="33"/>
  <c r="E72" i="33"/>
  <c r="F72" i="33"/>
  <c r="G72" i="33"/>
  <c r="H72" i="33"/>
  <c r="I72" i="33"/>
  <c r="J72" i="33"/>
  <c r="C73" i="33"/>
  <c r="D73" i="33"/>
  <c r="E73" i="33"/>
  <c r="F73" i="33"/>
  <c r="G73" i="33"/>
  <c r="H73" i="33"/>
  <c r="I73" i="33"/>
  <c r="J73" i="33"/>
  <c r="C74" i="33"/>
  <c r="D74" i="33"/>
  <c r="E74" i="33"/>
  <c r="F74" i="33"/>
  <c r="G74" i="33"/>
  <c r="H74" i="33"/>
  <c r="I74" i="33"/>
  <c r="J74" i="33"/>
  <c r="C75" i="33"/>
  <c r="D75" i="33"/>
  <c r="E75" i="33"/>
  <c r="F75" i="33"/>
  <c r="G75" i="33"/>
  <c r="H75" i="33"/>
  <c r="I75" i="33"/>
  <c r="J75" i="33"/>
  <c r="C76" i="33"/>
  <c r="D76" i="33"/>
  <c r="E76" i="33"/>
  <c r="F76" i="33"/>
  <c r="G76" i="33"/>
  <c r="H76" i="33"/>
  <c r="I76" i="33"/>
  <c r="J76" i="33"/>
  <c r="C77" i="33"/>
  <c r="D77" i="33"/>
  <c r="E77" i="33"/>
  <c r="F77" i="33"/>
  <c r="G77" i="33"/>
  <c r="H77" i="33"/>
  <c r="I77" i="33"/>
  <c r="J77" i="33"/>
  <c r="D27" i="32"/>
  <c r="D5" i="32"/>
  <c r="D4" i="32"/>
  <c r="D3" i="32"/>
  <c r="I4" i="32"/>
  <c r="I6" i="32"/>
  <c r="I15" i="32"/>
  <c r="D28" i="32"/>
  <c r="D29" i="32"/>
  <c r="D30" i="32"/>
  <c r="D31" i="32"/>
  <c r="D32" i="32"/>
  <c r="D33" i="32"/>
  <c r="D34" i="32"/>
  <c r="I34" i="32"/>
  <c r="D35" i="32"/>
  <c r="D36" i="32"/>
  <c r="I38" i="32"/>
  <c r="D40" i="32"/>
  <c r="I41" i="32"/>
  <c r="I42" i="32"/>
  <c r="I43" i="32"/>
  <c r="I44" i="32"/>
  <c r="I45" i="32"/>
  <c r="I48" i="32"/>
  <c r="I49" i="32"/>
  <c r="I55" i="32"/>
  <c r="C71" i="32"/>
  <c r="D71" i="32"/>
  <c r="E71" i="32"/>
  <c r="F71" i="32"/>
  <c r="G71" i="32"/>
  <c r="H71" i="32"/>
  <c r="I71" i="32"/>
  <c r="J71" i="32"/>
  <c r="C72" i="32"/>
  <c r="D72" i="32"/>
  <c r="E72" i="32"/>
  <c r="F72" i="32"/>
  <c r="G72" i="32"/>
  <c r="H72" i="32"/>
  <c r="I72" i="32"/>
  <c r="J72" i="32"/>
  <c r="C73" i="32"/>
  <c r="D73" i="32"/>
  <c r="E73" i="32"/>
  <c r="F73" i="32"/>
  <c r="G73" i="32"/>
  <c r="H73" i="32"/>
  <c r="I73" i="32"/>
  <c r="J73" i="32"/>
  <c r="C74" i="32"/>
  <c r="D74" i="32"/>
  <c r="E74" i="32"/>
  <c r="F74" i="32"/>
  <c r="G74" i="32"/>
  <c r="H74" i="32"/>
  <c r="I74" i="32"/>
  <c r="J74" i="32"/>
  <c r="C75" i="32"/>
  <c r="D75" i="32"/>
  <c r="E75" i="32"/>
  <c r="F75" i="32"/>
  <c r="G75" i="32"/>
  <c r="H75" i="32"/>
  <c r="I75" i="32"/>
  <c r="J75" i="32"/>
  <c r="C76" i="32"/>
  <c r="D76" i="32"/>
  <c r="E76" i="32"/>
  <c r="F76" i="32"/>
  <c r="G76" i="32"/>
  <c r="H76" i="32"/>
  <c r="I76" i="32"/>
  <c r="J76" i="32"/>
  <c r="C77" i="32"/>
  <c r="D77" i="32"/>
  <c r="E77" i="32"/>
  <c r="F77" i="32"/>
  <c r="G77" i="32"/>
  <c r="H77" i="32"/>
  <c r="I77" i="32"/>
  <c r="J77" i="32"/>
  <c r="I3" i="32"/>
  <c r="D35" i="31"/>
  <c r="D36" i="31"/>
  <c r="D34" i="31"/>
  <c r="D31" i="31"/>
  <c r="D32" i="31"/>
  <c r="D33" i="31"/>
  <c r="D30" i="31"/>
  <c r="D28" i="31"/>
  <c r="D5" i="31"/>
  <c r="D4" i="31"/>
  <c r="D3" i="31"/>
  <c r="I4" i="31"/>
  <c r="I6" i="31"/>
  <c r="I8" i="31"/>
  <c r="I10" i="31"/>
  <c r="I15" i="31"/>
  <c r="I44" i="31"/>
  <c r="I53" i="31"/>
  <c r="I54" i="31"/>
  <c r="I55" i="31"/>
  <c r="I62" i="31"/>
  <c r="C71" i="31"/>
  <c r="D71" i="31"/>
  <c r="E71" i="31"/>
  <c r="F71" i="31"/>
  <c r="G71" i="31"/>
  <c r="H71" i="31"/>
  <c r="I71" i="31"/>
  <c r="J71" i="31"/>
  <c r="C72" i="31"/>
  <c r="D72" i="31"/>
  <c r="E72" i="31"/>
  <c r="F72" i="31"/>
  <c r="G72" i="31"/>
  <c r="H72" i="31"/>
  <c r="I72" i="31"/>
  <c r="J72" i="31"/>
  <c r="C73" i="31"/>
  <c r="D73" i="31"/>
  <c r="E73" i="31"/>
  <c r="F73" i="31"/>
  <c r="G73" i="31"/>
  <c r="H73" i="31"/>
  <c r="I73" i="31"/>
  <c r="J73" i="31"/>
  <c r="C74" i="31"/>
  <c r="D74" i="31"/>
  <c r="E74" i="31"/>
  <c r="F74" i="31"/>
  <c r="G74" i="31"/>
  <c r="H74" i="31"/>
  <c r="I74" i="31"/>
  <c r="J74" i="31"/>
  <c r="C75" i="31"/>
  <c r="D75" i="31"/>
  <c r="E75" i="31"/>
  <c r="F75" i="31"/>
  <c r="G75" i="31"/>
  <c r="H75" i="31"/>
  <c r="I75" i="31"/>
  <c r="J75" i="31"/>
  <c r="C76" i="31"/>
  <c r="D76" i="31"/>
  <c r="E76" i="31"/>
  <c r="F76" i="31"/>
  <c r="G76" i="31"/>
  <c r="H76" i="31"/>
  <c r="I76" i="31"/>
  <c r="J76" i="31"/>
  <c r="C77" i="31"/>
  <c r="D77" i="31"/>
  <c r="E77" i="31"/>
  <c r="F77" i="31"/>
  <c r="G77" i="31"/>
  <c r="H77" i="31"/>
  <c r="I77" i="31"/>
  <c r="J77" i="31"/>
  <c r="D27" i="29"/>
  <c r="D35" i="29"/>
  <c r="D36" i="29"/>
  <c r="D34" i="29"/>
  <c r="D31" i="29"/>
  <c r="D32" i="29"/>
  <c r="D33" i="29"/>
  <c r="D30" i="29"/>
  <c r="D28" i="29"/>
  <c r="D5" i="29"/>
  <c r="D4" i="29"/>
  <c r="D3" i="29"/>
  <c r="I4" i="29"/>
  <c r="I6" i="29"/>
  <c r="I8" i="29"/>
  <c r="I34" i="29"/>
  <c r="I38" i="29"/>
  <c r="I41" i="29"/>
  <c r="I42" i="29"/>
  <c r="I43" i="29"/>
  <c r="I44" i="29"/>
  <c r="I45" i="29"/>
  <c r="I48" i="29"/>
  <c r="I49" i="29"/>
  <c r="I53" i="29"/>
  <c r="I54" i="29"/>
  <c r="I62" i="29"/>
  <c r="C71" i="29"/>
  <c r="D71" i="29"/>
  <c r="E71" i="29"/>
  <c r="F71" i="29"/>
  <c r="G71" i="29"/>
  <c r="H71" i="29"/>
  <c r="I71" i="29"/>
  <c r="J71" i="29"/>
  <c r="C72" i="29"/>
  <c r="D72" i="29"/>
  <c r="E72" i="29"/>
  <c r="F72" i="29"/>
  <c r="G72" i="29"/>
  <c r="H72" i="29"/>
  <c r="I72" i="29"/>
  <c r="J72" i="29"/>
  <c r="C73" i="29"/>
  <c r="D73" i="29"/>
  <c r="E73" i="29"/>
  <c r="F73" i="29"/>
  <c r="G73" i="29"/>
  <c r="H73" i="29"/>
  <c r="I73" i="29"/>
  <c r="J73" i="29"/>
  <c r="C74" i="29"/>
  <c r="D74" i="29"/>
  <c r="E74" i="29"/>
  <c r="F74" i="29"/>
  <c r="G74" i="29"/>
  <c r="H74" i="29"/>
  <c r="I74" i="29"/>
  <c r="J74" i="29"/>
  <c r="C75" i="29"/>
  <c r="D75" i="29"/>
  <c r="E75" i="29"/>
  <c r="F75" i="29"/>
  <c r="G75" i="29"/>
  <c r="H75" i="29"/>
  <c r="I75" i="29"/>
  <c r="J75" i="29"/>
  <c r="C76" i="29"/>
  <c r="D76" i="29"/>
  <c r="E76" i="29"/>
  <c r="F76" i="29"/>
  <c r="G76" i="29"/>
  <c r="H76" i="29"/>
  <c r="I76" i="29"/>
  <c r="J76" i="29"/>
  <c r="C77" i="29"/>
  <c r="D77" i="29"/>
  <c r="E77" i="29"/>
  <c r="F77" i="29"/>
  <c r="G77" i="29"/>
  <c r="H77" i="29"/>
  <c r="I77" i="29"/>
  <c r="J77" i="29"/>
  <c r="D27" i="28"/>
  <c r="D5" i="28"/>
  <c r="D4" i="28"/>
  <c r="D3" i="28"/>
  <c r="I4" i="28"/>
  <c r="I6" i="28"/>
  <c r="I8" i="30"/>
  <c r="I10" i="30"/>
  <c r="D28" i="28"/>
  <c r="D29" i="28"/>
  <c r="D30" i="28"/>
  <c r="D31" i="28"/>
  <c r="D32" i="28"/>
  <c r="D33" i="28"/>
  <c r="D34" i="28"/>
  <c r="I34" i="28"/>
  <c r="I34" i="30" s="1"/>
  <c r="D35" i="28"/>
  <c r="D36" i="28"/>
  <c r="I38" i="28"/>
  <c r="I38" i="30" s="1"/>
  <c r="D40" i="28"/>
  <c r="I41" i="28"/>
  <c r="I42" i="28"/>
  <c r="I42" i="30" s="1"/>
  <c r="I43" i="28"/>
  <c r="I43" i="30" s="1"/>
  <c r="I44" i="28"/>
  <c r="I45" i="28"/>
  <c r="I47" i="30"/>
  <c r="D5" i="30" s="1"/>
  <c r="I48" i="28"/>
  <c r="I48" i="30" s="1"/>
  <c r="I49" i="28"/>
  <c r="I49" i="30" s="1"/>
  <c r="I55" i="28"/>
  <c r="I57" i="30"/>
  <c r="I62" i="30"/>
  <c r="C71" i="28"/>
  <c r="D71" i="28"/>
  <c r="E71" i="28"/>
  <c r="F71" i="28"/>
  <c r="G71" i="28"/>
  <c r="H71" i="28"/>
  <c r="I71" i="28"/>
  <c r="J71" i="28"/>
  <c r="C72" i="28"/>
  <c r="D72" i="28"/>
  <c r="E72" i="28"/>
  <c r="F72" i="28"/>
  <c r="G72" i="28"/>
  <c r="H72" i="28"/>
  <c r="I72" i="28"/>
  <c r="J72" i="28"/>
  <c r="C73" i="28"/>
  <c r="D73" i="28"/>
  <c r="E73" i="28"/>
  <c r="F73" i="28"/>
  <c r="G73" i="28"/>
  <c r="H73" i="28"/>
  <c r="I73" i="28"/>
  <c r="J73" i="28"/>
  <c r="C74" i="28"/>
  <c r="D74" i="28"/>
  <c r="E74" i="28"/>
  <c r="F74" i="28"/>
  <c r="G74" i="28"/>
  <c r="H74" i="28"/>
  <c r="I74" i="28"/>
  <c r="J74" i="28"/>
  <c r="C75" i="28"/>
  <c r="D75" i="28"/>
  <c r="E75" i="28"/>
  <c r="F75" i="28"/>
  <c r="G75" i="28"/>
  <c r="H75" i="28"/>
  <c r="I75" i="28"/>
  <c r="J75" i="28"/>
  <c r="C76" i="28"/>
  <c r="D76" i="28"/>
  <c r="E76" i="28"/>
  <c r="F76" i="28"/>
  <c r="G76" i="28"/>
  <c r="H76" i="28"/>
  <c r="I76" i="28"/>
  <c r="J76" i="28"/>
  <c r="C77" i="28"/>
  <c r="D77" i="28"/>
  <c r="E77" i="28"/>
  <c r="F77" i="28"/>
  <c r="G77" i="28"/>
  <c r="H77" i="28"/>
  <c r="I77" i="28"/>
  <c r="J77" i="28"/>
  <c r="I3" i="28"/>
  <c r="I45" i="30"/>
  <c r="D35" i="26"/>
  <c r="D36" i="26"/>
  <c r="D34" i="26"/>
  <c r="D31" i="26"/>
  <c r="D32" i="26"/>
  <c r="D33" i="26"/>
  <c r="D30" i="26"/>
  <c r="D28" i="26"/>
  <c r="D5" i="26"/>
  <c r="D4" i="26"/>
  <c r="D3" i="26"/>
  <c r="I4" i="26"/>
  <c r="I6" i="26"/>
  <c r="I8" i="26"/>
  <c r="J15" i="26"/>
  <c r="J15" i="42" s="1"/>
  <c r="I44" i="26"/>
  <c r="I55" i="26"/>
  <c r="F68" i="26"/>
  <c r="F68" i="42" s="1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D36" i="30"/>
  <c r="D28" i="30"/>
  <c r="D35" i="30"/>
  <c r="D27" i="25"/>
  <c r="D35" i="25"/>
  <c r="D36" i="25"/>
  <c r="D34" i="25"/>
  <c r="D31" i="25"/>
  <c r="D32" i="25"/>
  <c r="D32" i="30" s="1"/>
  <c r="D33" i="25"/>
  <c r="D30" i="25"/>
  <c r="D28" i="25"/>
  <c r="D5" i="25"/>
  <c r="D4" i="25"/>
  <c r="D3" i="25"/>
  <c r="C4" i="25"/>
  <c r="C4" i="26" s="1"/>
  <c r="E4" i="25"/>
  <c r="E4" i="26" s="1"/>
  <c r="E4" i="42" s="1"/>
  <c r="F4" i="25"/>
  <c r="F4" i="26" s="1"/>
  <c r="F4" i="42" s="1"/>
  <c r="G4" i="25"/>
  <c r="G4" i="26" s="1"/>
  <c r="G4" i="42" s="1"/>
  <c r="H4" i="25"/>
  <c r="H4" i="26" s="1"/>
  <c r="H4" i="42" s="1"/>
  <c r="J4" i="25"/>
  <c r="J4" i="26" s="1"/>
  <c r="C5" i="25"/>
  <c r="C5" i="26" s="1"/>
  <c r="C5" i="42" s="1"/>
  <c r="E5" i="25"/>
  <c r="E5" i="26" s="1"/>
  <c r="F5" i="25"/>
  <c r="F5" i="26" s="1"/>
  <c r="F5" i="42" s="1"/>
  <c r="G5" i="25"/>
  <c r="G5" i="26" s="1"/>
  <c r="G5" i="42" s="1"/>
  <c r="H5" i="25"/>
  <c r="H5" i="26" s="1"/>
  <c r="H5" i="42" s="1"/>
  <c r="I5" i="25"/>
  <c r="I5" i="26" s="1"/>
  <c r="I5" i="42" s="1"/>
  <c r="J5" i="25"/>
  <c r="J5" i="26" s="1"/>
  <c r="C6" i="25"/>
  <c r="C6" i="26" s="1"/>
  <c r="C6" i="42" s="1"/>
  <c r="D6" i="25"/>
  <c r="D6" i="26" s="1"/>
  <c r="D6" i="42" s="1"/>
  <c r="E6" i="25"/>
  <c r="E6" i="26" s="1"/>
  <c r="E6" i="42" s="1"/>
  <c r="F6" i="25"/>
  <c r="F6" i="26" s="1"/>
  <c r="F6" i="42" s="1"/>
  <c r="G6" i="25"/>
  <c r="G6" i="26" s="1"/>
  <c r="G6" i="42" s="1"/>
  <c r="H6" i="25"/>
  <c r="H6" i="26" s="1"/>
  <c r="H6" i="42" s="1"/>
  <c r="J6" i="25"/>
  <c r="J6" i="26" s="1"/>
  <c r="G7" i="25"/>
  <c r="G7" i="26" s="1"/>
  <c r="G7" i="42" s="1"/>
  <c r="H7" i="25"/>
  <c r="H7" i="26" s="1"/>
  <c r="H7" i="42" s="1"/>
  <c r="I7" i="25"/>
  <c r="I7" i="26" s="1"/>
  <c r="I7" i="42" s="1"/>
  <c r="J7" i="25"/>
  <c r="J7" i="26" s="1"/>
  <c r="J7" i="42" s="1"/>
  <c r="G8" i="25"/>
  <c r="G8" i="26" s="1"/>
  <c r="H8" i="25"/>
  <c r="H8" i="26" s="1"/>
  <c r="H8" i="42" s="1"/>
  <c r="J8" i="25"/>
  <c r="J8" i="26" s="1"/>
  <c r="G9" i="25"/>
  <c r="G9" i="26" s="1"/>
  <c r="G9" i="42" s="1"/>
  <c r="H9" i="25"/>
  <c r="H9" i="26" s="1"/>
  <c r="H9" i="42" s="1"/>
  <c r="I9" i="25"/>
  <c r="I9" i="26" s="1"/>
  <c r="J9" i="25"/>
  <c r="J9" i="26" s="1"/>
  <c r="J9" i="42" s="1"/>
  <c r="G10" i="25"/>
  <c r="G10" i="26" s="1"/>
  <c r="G10" i="42" s="1"/>
  <c r="H10" i="25"/>
  <c r="H10" i="26" s="1"/>
  <c r="H10" i="42" s="1"/>
  <c r="I10" i="25"/>
  <c r="I10" i="26" s="1"/>
  <c r="J10" i="25"/>
  <c r="J10" i="26" s="1"/>
  <c r="G11" i="25"/>
  <c r="G11" i="26" s="1"/>
  <c r="G11" i="42" s="1"/>
  <c r="H11" i="25"/>
  <c r="H11" i="26" s="1"/>
  <c r="H11" i="42" s="1"/>
  <c r="I11" i="25"/>
  <c r="I11" i="26" s="1"/>
  <c r="J11" i="25"/>
  <c r="J11" i="26" s="1"/>
  <c r="J11" i="42" s="1"/>
  <c r="G12" i="25"/>
  <c r="G12" i="26" s="1"/>
  <c r="G12" i="42" s="1"/>
  <c r="H12" i="25"/>
  <c r="H12" i="26" s="1"/>
  <c r="I12" i="25"/>
  <c r="J12" i="25"/>
  <c r="J12" i="26" s="1"/>
  <c r="G13" i="25"/>
  <c r="G13" i="26" s="1"/>
  <c r="G13" i="42" s="1"/>
  <c r="H13" i="25"/>
  <c r="H13" i="26" s="1"/>
  <c r="H13" i="42" s="1"/>
  <c r="I13" i="25"/>
  <c r="I13" i="26" s="1"/>
  <c r="J13" i="25"/>
  <c r="J13" i="26" s="1"/>
  <c r="J13" i="42" s="1"/>
  <c r="G14" i="25"/>
  <c r="G14" i="26" s="1"/>
  <c r="G14" i="42" s="1"/>
  <c r="H14" i="25"/>
  <c r="H14" i="26" s="1"/>
  <c r="I14" i="25"/>
  <c r="I14" i="26" s="1"/>
  <c r="I14" i="42" s="1"/>
  <c r="J14" i="25"/>
  <c r="J14" i="26" s="1"/>
  <c r="G15" i="25"/>
  <c r="G15" i="26" s="1"/>
  <c r="G15" i="42" s="1"/>
  <c r="H15" i="25"/>
  <c r="H15" i="26" s="1"/>
  <c r="H15" i="42" s="1"/>
  <c r="I15" i="25"/>
  <c r="I15" i="26" s="1"/>
  <c r="J15" i="25"/>
  <c r="G16" i="25"/>
  <c r="G16" i="26" s="1"/>
  <c r="G16" i="42" s="1"/>
  <c r="H16" i="25"/>
  <c r="H16" i="26" s="1"/>
  <c r="H16" i="42" s="1"/>
  <c r="I16" i="25"/>
  <c r="I16" i="26" s="1"/>
  <c r="I16" i="42" s="1"/>
  <c r="J16" i="25"/>
  <c r="J16" i="26" s="1"/>
  <c r="G17" i="25"/>
  <c r="G17" i="26" s="1"/>
  <c r="H17" i="25"/>
  <c r="H17" i="26" s="1"/>
  <c r="H17" i="42" s="1"/>
  <c r="I17" i="25"/>
  <c r="I17" i="26" s="1"/>
  <c r="I17" i="42" s="1"/>
  <c r="J17" i="25"/>
  <c r="J17" i="26" s="1"/>
  <c r="J17" i="42" s="1"/>
  <c r="G18" i="25"/>
  <c r="G18" i="26" s="1"/>
  <c r="G18" i="42" s="1"/>
  <c r="H18" i="25"/>
  <c r="H18" i="26" s="1"/>
  <c r="H18" i="42" s="1"/>
  <c r="I18" i="25"/>
  <c r="I18" i="26" s="1"/>
  <c r="I18" i="42" s="1"/>
  <c r="J18" i="25"/>
  <c r="J18" i="26" s="1"/>
  <c r="G19" i="25"/>
  <c r="G19" i="26" s="1"/>
  <c r="G19" i="42" s="1"/>
  <c r="H19" i="25"/>
  <c r="H19" i="26" s="1"/>
  <c r="H19" i="42" s="1"/>
  <c r="I19" i="25"/>
  <c r="I19" i="26" s="1"/>
  <c r="I19" i="42" s="1"/>
  <c r="J19" i="25"/>
  <c r="J19" i="26" s="1"/>
  <c r="J19" i="42" s="1"/>
  <c r="G20" i="25"/>
  <c r="G20" i="26" s="1"/>
  <c r="G20" i="42" s="1"/>
  <c r="H20" i="25"/>
  <c r="H20" i="26" s="1"/>
  <c r="H20" i="42" s="1"/>
  <c r="I20" i="25"/>
  <c r="I20" i="26" s="1"/>
  <c r="I20" i="42" s="1"/>
  <c r="J20" i="25"/>
  <c r="J20" i="26" s="1"/>
  <c r="G21" i="25"/>
  <c r="G21" i="26" s="1"/>
  <c r="G21" i="42" s="1"/>
  <c r="H21" i="25"/>
  <c r="H21" i="26" s="1"/>
  <c r="H21" i="42" s="1"/>
  <c r="I21" i="25"/>
  <c r="I21" i="26" s="1"/>
  <c r="J21" i="25"/>
  <c r="J21" i="26" s="1"/>
  <c r="J21" i="42" s="1"/>
  <c r="G22" i="25"/>
  <c r="G22" i="26" s="1"/>
  <c r="G22" i="42" s="1"/>
  <c r="H22" i="25"/>
  <c r="H22" i="26" s="1"/>
  <c r="H22" i="42" s="1"/>
  <c r="I22" i="25"/>
  <c r="I22" i="26" s="1"/>
  <c r="I22" i="42" s="1"/>
  <c r="J22" i="25"/>
  <c r="J22" i="26" s="1"/>
  <c r="G23" i="25"/>
  <c r="G23" i="26" s="1"/>
  <c r="G23" i="42" s="1"/>
  <c r="H23" i="25"/>
  <c r="H23" i="26" s="1"/>
  <c r="H23" i="42" s="1"/>
  <c r="I23" i="25"/>
  <c r="I23" i="26" s="1"/>
  <c r="J23" i="25"/>
  <c r="J23" i="26" s="1"/>
  <c r="J23" i="42" s="1"/>
  <c r="G24" i="25"/>
  <c r="G24" i="26" s="1"/>
  <c r="H24" i="25"/>
  <c r="H24" i="26" s="1"/>
  <c r="H24" i="42" s="1"/>
  <c r="I24" i="25"/>
  <c r="I24" i="26" s="1"/>
  <c r="I24" i="42" s="1"/>
  <c r="J24" i="25"/>
  <c r="J24" i="26" s="1"/>
  <c r="C25" i="25"/>
  <c r="C25" i="26" s="1"/>
  <c r="E25" i="25"/>
  <c r="E25" i="26" s="1"/>
  <c r="E25" i="42" s="1"/>
  <c r="F25" i="25"/>
  <c r="F25" i="26" s="1"/>
  <c r="F25" i="42" s="1"/>
  <c r="G25" i="25"/>
  <c r="G25" i="26" s="1"/>
  <c r="G25" i="42" s="1"/>
  <c r="H25" i="25"/>
  <c r="H25" i="26" s="1"/>
  <c r="H25" i="42" s="1"/>
  <c r="I25" i="25"/>
  <c r="I25" i="26" s="1"/>
  <c r="I25" i="42" s="1"/>
  <c r="J25" i="25"/>
  <c r="J25" i="26" s="1"/>
  <c r="C26" i="25"/>
  <c r="C26" i="26" s="1"/>
  <c r="C26" i="42" s="1"/>
  <c r="E26" i="25"/>
  <c r="E26" i="26" s="1"/>
  <c r="E26" i="42" s="1"/>
  <c r="F26" i="25"/>
  <c r="F26" i="26" s="1"/>
  <c r="F26" i="42" s="1"/>
  <c r="G26" i="25"/>
  <c r="G26" i="26" s="1"/>
  <c r="H26" i="25"/>
  <c r="H26" i="26" s="1"/>
  <c r="H26" i="42" s="1"/>
  <c r="I26" i="25"/>
  <c r="I26" i="26" s="1"/>
  <c r="I26" i="42" s="1"/>
  <c r="J26" i="25"/>
  <c r="J26" i="26" s="1"/>
  <c r="C27" i="25"/>
  <c r="C27" i="26" s="1"/>
  <c r="C27" i="42" s="1"/>
  <c r="E27" i="25"/>
  <c r="E27" i="26" s="1"/>
  <c r="E27" i="42" s="1"/>
  <c r="F27" i="25"/>
  <c r="F27" i="26" s="1"/>
  <c r="F27" i="42" s="1"/>
  <c r="G27" i="25"/>
  <c r="G27" i="26" s="1"/>
  <c r="G27" i="42" s="1"/>
  <c r="H27" i="25"/>
  <c r="H27" i="26" s="1"/>
  <c r="H27" i="42" s="1"/>
  <c r="I27" i="25"/>
  <c r="I27" i="26" s="1"/>
  <c r="I27" i="42" s="1"/>
  <c r="J27" i="25"/>
  <c r="J27" i="26" s="1"/>
  <c r="C28" i="25"/>
  <c r="C28" i="26" s="1"/>
  <c r="C28" i="42" s="1"/>
  <c r="E28" i="25"/>
  <c r="E28" i="26" s="1"/>
  <c r="E28" i="42" s="1"/>
  <c r="F28" i="25"/>
  <c r="F28" i="26" s="1"/>
  <c r="F28" i="42" s="1"/>
  <c r="G28" i="25"/>
  <c r="G28" i="26" s="1"/>
  <c r="G28" i="42" s="1"/>
  <c r="H28" i="25"/>
  <c r="H28" i="26" s="1"/>
  <c r="H28" i="42" s="1"/>
  <c r="I28" i="25"/>
  <c r="I28" i="26" s="1"/>
  <c r="I28" i="42" s="1"/>
  <c r="J28" i="25"/>
  <c r="J28" i="26" s="1"/>
  <c r="C29" i="25"/>
  <c r="C29" i="26" s="1"/>
  <c r="C29" i="42" s="1"/>
  <c r="E29" i="25"/>
  <c r="E29" i="26" s="1"/>
  <c r="E29" i="42" s="1"/>
  <c r="F29" i="25"/>
  <c r="F29" i="26" s="1"/>
  <c r="F29" i="42" s="1"/>
  <c r="G29" i="25"/>
  <c r="G29" i="26" s="1"/>
  <c r="G29" i="42" s="1"/>
  <c r="H29" i="25"/>
  <c r="H29" i="26" s="1"/>
  <c r="H29" i="42" s="1"/>
  <c r="I29" i="25"/>
  <c r="I29" i="26" s="1"/>
  <c r="I29" i="42" s="1"/>
  <c r="J29" i="25"/>
  <c r="J29" i="26" s="1"/>
  <c r="C30" i="25"/>
  <c r="C30" i="26" s="1"/>
  <c r="C30" i="42" s="1"/>
  <c r="E30" i="25"/>
  <c r="E30" i="26" s="1"/>
  <c r="E30" i="42" s="1"/>
  <c r="F30" i="25"/>
  <c r="F30" i="26" s="1"/>
  <c r="F30" i="42" s="1"/>
  <c r="G30" i="25"/>
  <c r="G30" i="26" s="1"/>
  <c r="G30" i="42" s="1"/>
  <c r="H30" i="25"/>
  <c r="H30" i="26" s="1"/>
  <c r="H30" i="42" s="1"/>
  <c r="I30" i="25"/>
  <c r="I30" i="26" s="1"/>
  <c r="I30" i="42" s="1"/>
  <c r="J30" i="25"/>
  <c r="J30" i="26" s="1"/>
  <c r="C31" i="25"/>
  <c r="C31" i="26" s="1"/>
  <c r="C31" i="42" s="1"/>
  <c r="E31" i="25"/>
  <c r="E31" i="26" s="1"/>
  <c r="E31" i="42" s="1"/>
  <c r="F31" i="25"/>
  <c r="F31" i="26" s="1"/>
  <c r="F31" i="42" s="1"/>
  <c r="G31" i="25"/>
  <c r="G31" i="26" s="1"/>
  <c r="H31" i="25"/>
  <c r="H31" i="26" s="1"/>
  <c r="H31" i="42" s="1"/>
  <c r="I31" i="25"/>
  <c r="I31" i="26" s="1"/>
  <c r="I31" i="42" s="1"/>
  <c r="J31" i="25"/>
  <c r="J31" i="26" s="1"/>
  <c r="C32" i="25"/>
  <c r="C32" i="26" s="1"/>
  <c r="C32" i="42" s="1"/>
  <c r="E32" i="25"/>
  <c r="E32" i="26" s="1"/>
  <c r="E32" i="42" s="1"/>
  <c r="F32" i="25"/>
  <c r="F32" i="26" s="1"/>
  <c r="F32" i="42" s="1"/>
  <c r="G32" i="25"/>
  <c r="G32" i="26" s="1"/>
  <c r="G32" i="42" s="1"/>
  <c r="H32" i="25"/>
  <c r="H32" i="26" s="1"/>
  <c r="H32" i="42" s="1"/>
  <c r="I32" i="25"/>
  <c r="I32" i="26" s="1"/>
  <c r="I32" i="42" s="1"/>
  <c r="J32" i="25"/>
  <c r="J32" i="26" s="1"/>
  <c r="C33" i="25"/>
  <c r="C33" i="26" s="1"/>
  <c r="C33" i="42" s="1"/>
  <c r="E33" i="25"/>
  <c r="E33" i="26" s="1"/>
  <c r="E33" i="42" s="1"/>
  <c r="F33" i="25"/>
  <c r="F33" i="26" s="1"/>
  <c r="F33" i="42" s="1"/>
  <c r="G33" i="25"/>
  <c r="G33" i="26" s="1"/>
  <c r="G33" i="42" s="1"/>
  <c r="H33" i="25"/>
  <c r="H33" i="26" s="1"/>
  <c r="H33" i="42" s="1"/>
  <c r="I33" i="25"/>
  <c r="I33" i="26" s="1"/>
  <c r="J33" i="25"/>
  <c r="J33" i="26" s="1"/>
  <c r="C34" i="25"/>
  <c r="C34" i="26" s="1"/>
  <c r="C34" i="42" s="1"/>
  <c r="E34" i="25"/>
  <c r="E34" i="26" s="1"/>
  <c r="E34" i="42" s="1"/>
  <c r="F34" i="25"/>
  <c r="F34" i="26" s="1"/>
  <c r="F34" i="42" s="1"/>
  <c r="G34" i="25"/>
  <c r="G34" i="26" s="1"/>
  <c r="G34" i="42" s="1"/>
  <c r="H34" i="25"/>
  <c r="H34" i="26" s="1"/>
  <c r="H34" i="42" s="1"/>
  <c r="J34" i="25"/>
  <c r="J34" i="26" s="1"/>
  <c r="J34" i="42" s="1"/>
  <c r="C35" i="25"/>
  <c r="C35" i="26" s="1"/>
  <c r="C35" i="42" s="1"/>
  <c r="E35" i="25"/>
  <c r="E35" i="26" s="1"/>
  <c r="E35" i="42" s="1"/>
  <c r="F35" i="25"/>
  <c r="F35" i="26" s="1"/>
  <c r="F35" i="42" s="1"/>
  <c r="G35" i="25"/>
  <c r="G35" i="26" s="1"/>
  <c r="H35" i="25"/>
  <c r="H35" i="26" s="1"/>
  <c r="H35" i="42" s="1"/>
  <c r="I35" i="25"/>
  <c r="I35" i="26" s="1"/>
  <c r="I35" i="42" s="1"/>
  <c r="J35" i="25"/>
  <c r="J35" i="26" s="1"/>
  <c r="C36" i="25"/>
  <c r="C36" i="26" s="1"/>
  <c r="C36" i="42" s="1"/>
  <c r="E36" i="25"/>
  <c r="E36" i="26" s="1"/>
  <c r="E36" i="42" s="1"/>
  <c r="F36" i="25"/>
  <c r="F36" i="26" s="1"/>
  <c r="F36" i="42" s="1"/>
  <c r="G36" i="25"/>
  <c r="G36" i="26" s="1"/>
  <c r="G36" i="42" s="1"/>
  <c r="H36" i="25"/>
  <c r="H36" i="26" s="1"/>
  <c r="H36" i="42" s="1"/>
  <c r="I36" i="25"/>
  <c r="J36" i="25"/>
  <c r="J36" i="26" s="1"/>
  <c r="C37" i="25"/>
  <c r="C37" i="26" s="1"/>
  <c r="C37" i="42" s="1"/>
  <c r="E37" i="25"/>
  <c r="E37" i="26" s="1"/>
  <c r="E37" i="42" s="1"/>
  <c r="F37" i="25"/>
  <c r="F37" i="26" s="1"/>
  <c r="F37" i="42" s="1"/>
  <c r="G37" i="25"/>
  <c r="G37" i="26" s="1"/>
  <c r="G37" i="42" s="1"/>
  <c r="H37" i="25"/>
  <c r="H37" i="26" s="1"/>
  <c r="H37" i="42" s="1"/>
  <c r="I37" i="25"/>
  <c r="D39" i="25" s="1"/>
  <c r="J37" i="25"/>
  <c r="J37" i="26" s="1"/>
  <c r="C38" i="25"/>
  <c r="C38" i="26" s="1"/>
  <c r="C38" i="42" s="1"/>
  <c r="E38" i="25"/>
  <c r="E38" i="26" s="1"/>
  <c r="E38" i="42" s="1"/>
  <c r="F38" i="25"/>
  <c r="F38" i="26" s="1"/>
  <c r="F38" i="42" s="1"/>
  <c r="G38" i="25"/>
  <c r="G38" i="26" s="1"/>
  <c r="G38" i="42" s="1"/>
  <c r="H38" i="25"/>
  <c r="H38" i="26" s="1"/>
  <c r="H38" i="42" s="1"/>
  <c r="J38" i="25"/>
  <c r="J38" i="26" s="1"/>
  <c r="C39" i="25"/>
  <c r="C39" i="26" s="1"/>
  <c r="C39" i="42" s="1"/>
  <c r="E39" i="25"/>
  <c r="E39" i="26" s="1"/>
  <c r="E39" i="42" s="1"/>
  <c r="F39" i="25"/>
  <c r="F39" i="26" s="1"/>
  <c r="F39" i="42" s="1"/>
  <c r="G39" i="25"/>
  <c r="G39" i="26" s="1"/>
  <c r="G39" i="42" s="1"/>
  <c r="H39" i="25"/>
  <c r="H39" i="26" s="1"/>
  <c r="H39" i="42" s="1"/>
  <c r="I39" i="25"/>
  <c r="I39" i="26" s="1"/>
  <c r="J39" i="25"/>
  <c r="J39" i="26" s="1"/>
  <c r="C40" i="25"/>
  <c r="C40" i="26" s="1"/>
  <c r="C40" i="42" s="1"/>
  <c r="E40" i="25"/>
  <c r="E40" i="26" s="1"/>
  <c r="E40" i="42" s="1"/>
  <c r="F40" i="25"/>
  <c r="F40" i="26" s="1"/>
  <c r="F40" i="42" s="1"/>
  <c r="G40" i="25"/>
  <c r="G40" i="26" s="1"/>
  <c r="G40" i="42" s="1"/>
  <c r="H40" i="25"/>
  <c r="H40" i="26" s="1"/>
  <c r="H40" i="42" s="1"/>
  <c r="I40" i="25"/>
  <c r="I40" i="26" s="1"/>
  <c r="I40" i="42" s="1"/>
  <c r="J40" i="25"/>
  <c r="J40" i="26" s="1"/>
  <c r="C41" i="25"/>
  <c r="C41" i="26" s="1"/>
  <c r="C41" i="42" s="1"/>
  <c r="E41" i="25"/>
  <c r="E41" i="26" s="1"/>
  <c r="E41" i="42" s="1"/>
  <c r="F41" i="25"/>
  <c r="F41" i="26" s="1"/>
  <c r="F41" i="42" s="1"/>
  <c r="G41" i="25"/>
  <c r="G41" i="26" s="1"/>
  <c r="G41" i="42" s="1"/>
  <c r="H41" i="25"/>
  <c r="H41" i="26" s="1"/>
  <c r="H41" i="42" s="1"/>
  <c r="J41" i="25"/>
  <c r="J41" i="26" s="1"/>
  <c r="C42" i="25"/>
  <c r="C42" i="26" s="1"/>
  <c r="C42" i="42" s="1"/>
  <c r="E42" i="25"/>
  <c r="E42" i="26" s="1"/>
  <c r="E42" i="42" s="1"/>
  <c r="F42" i="25"/>
  <c r="F42" i="26" s="1"/>
  <c r="F42" i="42" s="1"/>
  <c r="G42" i="25"/>
  <c r="G42" i="26" s="1"/>
  <c r="G42" i="42" s="1"/>
  <c r="H42" i="25"/>
  <c r="H42" i="26" s="1"/>
  <c r="H42" i="42" s="1"/>
  <c r="J42" i="25"/>
  <c r="J42" i="26" s="1"/>
  <c r="C43" i="25"/>
  <c r="C43" i="26" s="1"/>
  <c r="C43" i="42" s="1"/>
  <c r="E43" i="25"/>
  <c r="E43" i="26" s="1"/>
  <c r="E43" i="42" s="1"/>
  <c r="F43" i="25"/>
  <c r="F43" i="26" s="1"/>
  <c r="F43" i="42" s="1"/>
  <c r="G43" i="25"/>
  <c r="G43" i="26" s="1"/>
  <c r="G43" i="42" s="1"/>
  <c r="H43" i="25"/>
  <c r="H43" i="26" s="1"/>
  <c r="H43" i="42" s="1"/>
  <c r="J43" i="25"/>
  <c r="J43" i="26" s="1"/>
  <c r="C44" i="25"/>
  <c r="C44" i="26" s="1"/>
  <c r="C44" i="42" s="1"/>
  <c r="E44" i="25"/>
  <c r="E44" i="26" s="1"/>
  <c r="E44" i="42" s="1"/>
  <c r="F44" i="25"/>
  <c r="F44" i="26" s="1"/>
  <c r="F44" i="42" s="1"/>
  <c r="G44" i="25"/>
  <c r="G44" i="26" s="1"/>
  <c r="G44" i="42" s="1"/>
  <c r="H44" i="25"/>
  <c r="H44" i="26" s="1"/>
  <c r="H44" i="42" s="1"/>
  <c r="J44" i="25"/>
  <c r="J44" i="26" s="1"/>
  <c r="C45" i="25"/>
  <c r="C45" i="26" s="1"/>
  <c r="C45" i="42" s="1"/>
  <c r="D45" i="25"/>
  <c r="D45" i="26" s="1"/>
  <c r="D45" i="42" s="1"/>
  <c r="E45" i="25"/>
  <c r="E45" i="26" s="1"/>
  <c r="E45" i="42" s="1"/>
  <c r="F45" i="25"/>
  <c r="F45" i="26" s="1"/>
  <c r="F45" i="42" s="1"/>
  <c r="G45" i="25"/>
  <c r="G45" i="26" s="1"/>
  <c r="G45" i="42" s="1"/>
  <c r="H45" i="25"/>
  <c r="H45" i="26" s="1"/>
  <c r="H45" i="42" s="1"/>
  <c r="J45" i="25"/>
  <c r="J45" i="26" s="1"/>
  <c r="J45" i="42" s="1"/>
  <c r="C46" i="25"/>
  <c r="C46" i="26" s="1"/>
  <c r="C46" i="42" s="1"/>
  <c r="D46" i="25"/>
  <c r="D46" i="26" s="1"/>
  <c r="D46" i="42" s="1"/>
  <c r="E46" i="25"/>
  <c r="E46" i="26" s="1"/>
  <c r="E46" i="42" s="1"/>
  <c r="F46" i="25"/>
  <c r="F46" i="26" s="1"/>
  <c r="F46" i="42" s="1"/>
  <c r="G46" i="25"/>
  <c r="G46" i="26" s="1"/>
  <c r="G46" i="42" s="1"/>
  <c r="H46" i="25"/>
  <c r="H46" i="26" s="1"/>
  <c r="H46" i="42" s="1"/>
  <c r="I46" i="25"/>
  <c r="I46" i="26" s="1"/>
  <c r="I46" i="42" s="1"/>
  <c r="J46" i="25"/>
  <c r="J46" i="26" s="1"/>
  <c r="J46" i="42" s="1"/>
  <c r="C47" i="25"/>
  <c r="C47" i="26" s="1"/>
  <c r="C47" i="42" s="1"/>
  <c r="D47" i="25"/>
  <c r="D47" i="26" s="1"/>
  <c r="D47" i="42" s="1"/>
  <c r="E47" i="25"/>
  <c r="E47" i="26" s="1"/>
  <c r="E47" i="42" s="1"/>
  <c r="F47" i="25"/>
  <c r="F47" i="26" s="1"/>
  <c r="F47" i="42" s="1"/>
  <c r="G47" i="25"/>
  <c r="G47" i="26" s="1"/>
  <c r="G47" i="42" s="1"/>
  <c r="H47" i="25"/>
  <c r="H47" i="26" s="1"/>
  <c r="H47" i="42" s="1"/>
  <c r="C48" i="25"/>
  <c r="C48" i="26" s="1"/>
  <c r="C48" i="42" s="1"/>
  <c r="D48" i="25"/>
  <c r="D48" i="26" s="1"/>
  <c r="E48" i="25"/>
  <c r="E48" i="26" s="1"/>
  <c r="E48" i="42" s="1"/>
  <c r="F48" i="25"/>
  <c r="F48" i="26" s="1"/>
  <c r="F48" i="42" s="1"/>
  <c r="G48" i="25"/>
  <c r="G48" i="26" s="1"/>
  <c r="G48" i="42" s="1"/>
  <c r="H48" i="25"/>
  <c r="H48" i="26" s="1"/>
  <c r="H48" i="42" s="1"/>
  <c r="C49" i="25"/>
  <c r="C49" i="26" s="1"/>
  <c r="C49" i="42" s="1"/>
  <c r="D49" i="25"/>
  <c r="D49" i="26" s="1"/>
  <c r="D49" i="42" s="1"/>
  <c r="E49" i="25"/>
  <c r="E49" i="26" s="1"/>
  <c r="E49" i="42" s="1"/>
  <c r="F49" i="25"/>
  <c r="F49" i="26" s="1"/>
  <c r="F49" i="42" s="1"/>
  <c r="G49" i="25"/>
  <c r="G49" i="26" s="1"/>
  <c r="G49" i="42" s="1"/>
  <c r="H49" i="25"/>
  <c r="H49" i="26" s="1"/>
  <c r="H49" i="42" s="1"/>
  <c r="C50" i="25"/>
  <c r="C50" i="26" s="1"/>
  <c r="C50" i="42" s="1"/>
  <c r="D50" i="25"/>
  <c r="D50" i="26" s="1"/>
  <c r="D50" i="42" s="1"/>
  <c r="E50" i="25"/>
  <c r="E50" i="26" s="1"/>
  <c r="E50" i="42" s="1"/>
  <c r="F50" i="25"/>
  <c r="F50" i="26" s="1"/>
  <c r="F50" i="42" s="1"/>
  <c r="G50" i="25"/>
  <c r="G50" i="26" s="1"/>
  <c r="G50" i="42" s="1"/>
  <c r="H50" i="25"/>
  <c r="H50" i="26" s="1"/>
  <c r="H50" i="42" s="1"/>
  <c r="I50" i="25"/>
  <c r="D37" i="25" s="1"/>
  <c r="C51" i="25"/>
  <c r="C51" i="26" s="1"/>
  <c r="C51" i="42" s="1"/>
  <c r="D51" i="25"/>
  <c r="D51" i="26" s="1"/>
  <c r="D51" i="42" s="1"/>
  <c r="E51" i="25"/>
  <c r="E51" i="26" s="1"/>
  <c r="E51" i="42" s="1"/>
  <c r="F51" i="25"/>
  <c r="F51" i="26" s="1"/>
  <c r="F51" i="42" s="1"/>
  <c r="G51" i="25"/>
  <c r="G51" i="26" s="1"/>
  <c r="G51" i="42" s="1"/>
  <c r="H51" i="25"/>
  <c r="H51" i="26" s="1"/>
  <c r="H51" i="42" s="1"/>
  <c r="I51" i="25"/>
  <c r="D38" i="25" s="1"/>
  <c r="C52" i="25"/>
  <c r="C52" i="26" s="1"/>
  <c r="C52" i="42" s="1"/>
  <c r="D52" i="25"/>
  <c r="D52" i="26" s="1"/>
  <c r="D52" i="42" s="1"/>
  <c r="E52" i="25"/>
  <c r="E52" i="26" s="1"/>
  <c r="E52" i="42" s="1"/>
  <c r="F52" i="25"/>
  <c r="F52" i="26" s="1"/>
  <c r="F52" i="42" s="1"/>
  <c r="G52" i="25"/>
  <c r="G52" i="26" s="1"/>
  <c r="G52" i="42" s="1"/>
  <c r="H52" i="25"/>
  <c r="H52" i="26" s="1"/>
  <c r="H52" i="42" s="1"/>
  <c r="I52" i="25"/>
  <c r="I52" i="26" s="1"/>
  <c r="I52" i="42" s="1"/>
  <c r="J52" i="25"/>
  <c r="J52" i="26" s="1"/>
  <c r="J52" i="42" s="1"/>
  <c r="C53" i="25"/>
  <c r="C53" i="26" s="1"/>
  <c r="C53" i="42" s="1"/>
  <c r="D53" i="25"/>
  <c r="D53" i="26" s="1"/>
  <c r="D53" i="42" s="1"/>
  <c r="E53" i="25"/>
  <c r="E53" i="26" s="1"/>
  <c r="E53" i="42" s="1"/>
  <c r="F53" i="25"/>
  <c r="F53" i="26" s="1"/>
  <c r="F53" i="42" s="1"/>
  <c r="G53" i="25"/>
  <c r="G53" i="26" s="1"/>
  <c r="G53" i="42" s="1"/>
  <c r="H53" i="25"/>
  <c r="H53" i="26" s="1"/>
  <c r="H53" i="42" s="1"/>
  <c r="I53" i="25"/>
  <c r="I53" i="26" s="1"/>
  <c r="J53" i="25"/>
  <c r="J53" i="26" s="1"/>
  <c r="J53" i="42" s="1"/>
  <c r="C54" i="25"/>
  <c r="C54" i="26" s="1"/>
  <c r="C54" i="42" s="1"/>
  <c r="D54" i="25"/>
  <c r="D54" i="26" s="1"/>
  <c r="D54" i="42" s="1"/>
  <c r="E54" i="25"/>
  <c r="E54" i="26" s="1"/>
  <c r="E54" i="42" s="1"/>
  <c r="F54" i="25"/>
  <c r="F54" i="26" s="1"/>
  <c r="F54" i="42" s="1"/>
  <c r="G54" i="25"/>
  <c r="G54" i="26" s="1"/>
  <c r="G54" i="42" s="1"/>
  <c r="H54" i="25"/>
  <c r="H54" i="26" s="1"/>
  <c r="H54" i="42" s="1"/>
  <c r="I54" i="25"/>
  <c r="I54" i="26" s="1"/>
  <c r="J54" i="25"/>
  <c r="J54" i="26" s="1"/>
  <c r="C55" i="25"/>
  <c r="C55" i="26" s="1"/>
  <c r="C55" i="42" s="1"/>
  <c r="D55" i="25"/>
  <c r="D55" i="26" s="1"/>
  <c r="D55" i="42" s="1"/>
  <c r="E55" i="25"/>
  <c r="E55" i="26" s="1"/>
  <c r="E55" i="42" s="1"/>
  <c r="F55" i="25"/>
  <c r="F55" i="26" s="1"/>
  <c r="F55" i="42" s="1"/>
  <c r="G55" i="25"/>
  <c r="G55" i="26" s="1"/>
  <c r="G55" i="42" s="1"/>
  <c r="H55" i="25"/>
  <c r="H55" i="26" s="1"/>
  <c r="H55" i="42" s="1"/>
  <c r="J55" i="25"/>
  <c r="J55" i="26" s="1"/>
  <c r="C56" i="25"/>
  <c r="C56" i="26" s="1"/>
  <c r="C56" i="42" s="1"/>
  <c r="D56" i="25"/>
  <c r="D56" i="26" s="1"/>
  <c r="D56" i="42" s="1"/>
  <c r="E56" i="25"/>
  <c r="E56" i="26" s="1"/>
  <c r="E56" i="42" s="1"/>
  <c r="F56" i="25"/>
  <c r="F56" i="26" s="1"/>
  <c r="F56" i="42" s="1"/>
  <c r="G56" i="25"/>
  <c r="G56" i="26" s="1"/>
  <c r="G56" i="42" s="1"/>
  <c r="H56" i="25"/>
  <c r="H56" i="26" s="1"/>
  <c r="H56" i="42" s="1"/>
  <c r="I56" i="25"/>
  <c r="I56" i="26" s="1"/>
  <c r="I56" i="42" s="1"/>
  <c r="J56" i="25"/>
  <c r="J56" i="26" s="1"/>
  <c r="C57" i="25"/>
  <c r="C57" i="26" s="1"/>
  <c r="C57" i="42" s="1"/>
  <c r="D57" i="25"/>
  <c r="D57" i="26" s="1"/>
  <c r="D57" i="42" s="1"/>
  <c r="E57" i="25"/>
  <c r="E57" i="26" s="1"/>
  <c r="E57" i="42" s="1"/>
  <c r="F57" i="25"/>
  <c r="F57" i="26" s="1"/>
  <c r="F57" i="42" s="1"/>
  <c r="G57" i="25"/>
  <c r="G57" i="26" s="1"/>
  <c r="G57" i="42" s="1"/>
  <c r="H57" i="25"/>
  <c r="H57" i="26" s="1"/>
  <c r="H57" i="42" s="1"/>
  <c r="J57" i="25"/>
  <c r="J57" i="26" s="1"/>
  <c r="C58" i="25"/>
  <c r="C58" i="26" s="1"/>
  <c r="C58" i="42" s="1"/>
  <c r="D58" i="25"/>
  <c r="D58" i="26" s="1"/>
  <c r="D58" i="42" s="1"/>
  <c r="E58" i="25"/>
  <c r="E58" i="26" s="1"/>
  <c r="E58" i="42" s="1"/>
  <c r="F58" i="25"/>
  <c r="F58" i="26" s="1"/>
  <c r="F58" i="42" s="1"/>
  <c r="G58" i="25"/>
  <c r="G58" i="26" s="1"/>
  <c r="G58" i="42" s="1"/>
  <c r="H58" i="25"/>
  <c r="H58" i="26" s="1"/>
  <c r="H58" i="42" s="1"/>
  <c r="I58" i="25"/>
  <c r="J58" i="25"/>
  <c r="J58" i="26" s="1"/>
  <c r="C59" i="25"/>
  <c r="C59" i="26" s="1"/>
  <c r="C59" i="42" s="1"/>
  <c r="D59" i="25"/>
  <c r="D59" i="26" s="1"/>
  <c r="D59" i="42" s="1"/>
  <c r="E59" i="25"/>
  <c r="E59" i="26" s="1"/>
  <c r="E59" i="42" s="1"/>
  <c r="F59" i="25"/>
  <c r="F59" i="26" s="1"/>
  <c r="F59" i="42" s="1"/>
  <c r="G59" i="25"/>
  <c r="G59" i="26" s="1"/>
  <c r="G59" i="42" s="1"/>
  <c r="H59" i="25"/>
  <c r="H59" i="26" s="1"/>
  <c r="H59" i="42" s="1"/>
  <c r="I59" i="25"/>
  <c r="I59" i="26" s="1"/>
  <c r="I59" i="42" s="1"/>
  <c r="J59" i="25"/>
  <c r="J59" i="26" s="1"/>
  <c r="C60" i="25"/>
  <c r="C60" i="26" s="1"/>
  <c r="C60" i="42" s="1"/>
  <c r="D60" i="25"/>
  <c r="D60" i="26" s="1"/>
  <c r="D60" i="42" s="1"/>
  <c r="E60" i="25"/>
  <c r="E60" i="26" s="1"/>
  <c r="E60" i="42" s="1"/>
  <c r="F60" i="25"/>
  <c r="F60" i="26" s="1"/>
  <c r="F60" i="42" s="1"/>
  <c r="G60" i="25"/>
  <c r="G60" i="26" s="1"/>
  <c r="G60" i="42" s="1"/>
  <c r="H60" i="25"/>
  <c r="H60" i="26" s="1"/>
  <c r="H60" i="42" s="1"/>
  <c r="I60" i="25"/>
  <c r="I60" i="26" s="1"/>
  <c r="I60" i="42" s="1"/>
  <c r="J60" i="25"/>
  <c r="J60" i="26" s="1"/>
  <c r="C61" i="25"/>
  <c r="C61" i="26" s="1"/>
  <c r="C61" i="42" s="1"/>
  <c r="D61" i="25"/>
  <c r="D61" i="26" s="1"/>
  <c r="D61" i="42" s="1"/>
  <c r="E61" i="25"/>
  <c r="E61" i="26" s="1"/>
  <c r="E61" i="42" s="1"/>
  <c r="F61" i="25"/>
  <c r="F61" i="26" s="1"/>
  <c r="F61" i="42" s="1"/>
  <c r="G61" i="25"/>
  <c r="G61" i="26" s="1"/>
  <c r="G61" i="42" s="1"/>
  <c r="H61" i="25"/>
  <c r="H61" i="26" s="1"/>
  <c r="H61" i="42" s="1"/>
  <c r="I61" i="25"/>
  <c r="I61" i="26" s="1"/>
  <c r="I61" i="42" s="1"/>
  <c r="J61" i="25"/>
  <c r="J61" i="26" s="1"/>
  <c r="C62" i="25"/>
  <c r="C62" i="26" s="1"/>
  <c r="C62" i="42" s="1"/>
  <c r="D62" i="25"/>
  <c r="D62" i="26" s="1"/>
  <c r="D62" i="42" s="1"/>
  <c r="E62" i="25"/>
  <c r="E62" i="26" s="1"/>
  <c r="E62" i="42" s="1"/>
  <c r="F62" i="25"/>
  <c r="F62" i="26" s="1"/>
  <c r="F62" i="42" s="1"/>
  <c r="G62" i="25"/>
  <c r="G62" i="26" s="1"/>
  <c r="G62" i="42" s="1"/>
  <c r="H62" i="25"/>
  <c r="H62" i="26" s="1"/>
  <c r="H62" i="42" s="1"/>
  <c r="I62" i="25"/>
  <c r="I62" i="26" s="1"/>
  <c r="J62" i="25"/>
  <c r="J62" i="26" s="1"/>
  <c r="C63" i="25"/>
  <c r="C63" i="26" s="1"/>
  <c r="C63" i="42" s="1"/>
  <c r="D63" i="25"/>
  <c r="D63" i="26" s="1"/>
  <c r="D63" i="42" s="1"/>
  <c r="E63" i="25"/>
  <c r="E63" i="26" s="1"/>
  <c r="E63" i="42" s="1"/>
  <c r="F63" i="25"/>
  <c r="F63" i="26" s="1"/>
  <c r="F63" i="42" s="1"/>
  <c r="G63" i="25"/>
  <c r="G63" i="26" s="1"/>
  <c r="G63" i="42" s="1"/>
  <c r="H63" i="25"/>
  <c r="H63" i="26" s="1"/>
  <c r="H63" i="42" s="1"/>
  <c r="I63" i="25"/>
  <c r="J63" i="25"/>
  <c r="J63" i="26" s="1"/>
  <c r="C64" i="25"/>
  <c r="C64" i="26" s="1"/>
  <c r="C64" i="42" s="1"/>
  <c r="D64" i="25"/>
  <c r="D64" i="26" s="1"/>
  <c r="D64" i="42" s="1"/>
  <c r="E64" i="25"/>
  <c r="E64" i="26" s="1"/>
  <c r="E64" i="42" s="1"/>
  <c r="F64" i="25"/>
  <c r="F64" i="26" s="1"/>
  <c r="F64" i="42" s="1"/>
  <c r="G64" i="25"/>
  <c r="G64" i="26" s="1"/>
  <c r="G64" i="42" s="1"/>
  <c r="H64" i="25"/>
  <c r="H64" i="26" s="1"/>
  <c r="H64" i="42" s="1"/>
  <c r="I64" i="25"/>
  <c r="I64" i="26" s="1"/>
  <c r="I64" i="42" s="1"/>
  <c r="J64" i="25"/>
  <c r="J64" i="26" s="1"/>
  <c r="C65" i="25"/>
  <c r="C65" i="26" s="1"/>
  <c r="C65" i="42" s="1"/>
  <c r="D65" i="25"/>
  <c r="D65" i="26" s="1"/>
  <c r="D65" i="42" s="1"/>
  <c r="E65" i="25"/>
  <c r="E65" i="26" s="1"/>
  <c r="E65" i="42" s="1"/>
  <c r="F65" i="25"/>
  <c r="F65" i="26" s="1"/>
  <c r="F65" i="42" s="1"/>
  <c r="G65" i="25"/>
  <c r="G65" i="26" s="1"/>
  <c r="G65" i="42" s="1"/>
  <c r="H65" i="25"/>
  <c r="H65" i="26" s="1"/>
  <c r="H65" i="42" s="1"/>
  <c r="I65" i="25"/>
  <c r="I65" i="26" s="1"/>
  <c r="I65" i="42" s="1"/>
  <c r="J65" i="25"/>
  <c r="J65" i="26" s="1"/>
  <c r="C66" i="25"/>
  <c r="C66" i="26" s="1"/>
  <c r="C66" i="42" s="1"/>
  <c r="D66" i="25"/>
  <c r="D66" i="26" s="1"/>
  <c r="D66" i="42" s="1"/>
  <c r="E66" i="25"/>
  <c r="E66" i="26" s="1"/>
  <c r="E66" i="42" s="1"/>
  <c r="F66" i="25"/>
  <c r="F66" i="26" s="1"/>
  <c r="F66" i="42" s="1"/>
  <c r="G66" i="25"/>
  <c r="G66" i="26" s="1"/>
  <c r="G66" i="42" s="1"/>
  <c r="H66" i="25"/>
  <c r="H66" i="26" s="1"/>
  <c r="H66" i="42" s="1"/>
  <c r="I66" i="25"/>
  <c r="I66" i="26" s="1"/>
  <c r="I66" i="42" s="1"/>
  <c r="J66" i="25"/>
  <c r="J66" i="26" s="1"/>
  <c r="C67" i="25"/>
  <c r="C67" i="26" s="1"/>
  <c r="C67" i="42" s="1"/>
  <c r="D67" i="25"/>
  <c r="D67" i="26" s="1"/>
  <c r="D67" i="42" s="1"/>
  <c r="E67" i="25"/>
  <c r="E67" i="26" s="1"/>
  <c r="E67" i="42" s="1"/>
  <c r="F67" i="25"/>
  <c r="F67" i="26" s="1"/>
  <c r="F67" i="42" s="1"/>
  <c r="G67" i="25"/>
  <c r="G67" i="26" s="1"/>
  <c r="G67" i="42" s="1"/>
  <c r="H67" i="25"/>
  <c r="H67" i="26" s="1"/>
  <c r="H67" i="42" s="1"/>
  <c r="I67" i="25"/>
  <c r="I67" i="26" s="1"/>
  <c r="I67" i="42" s="1"/>
  <c r="J67" i="25"/>
  <c r="J67" i="26" s="1"/>
  <c r="C68" i="25"/>
  <c r="C68" i="26" s="1"/>
  <c r="C68" i="42" s="1"/>
  <c r="D68" i="25"/>
  <c r="D68" i="26" s="1"/>
  <c r="D68" i="42" s="1"/>
  <c r="E68" i="25"/>
  <c r="E68" i="26" s="1"/>
  <c r="E68" i="42" s="1"/>
  <c r="F68" i="25"/>
  <c r="G68" i="25"/>
  <c r="G68" i="26" s="1"/>
  <c r="G68" i="42" s="1"/>
  <c r="H68" i="25"/>
  <c r="H68" i="26" s="1"/>
  <c r="H68" i="42" s="1"/>
  <c r="I68" i="25"/>
  <c r="I68" i="26" s="1"/>
  <c r="I68" i="42" s="1"/>
  <c r="J68" i="25"/>
  <c r="J68" i="26" s="1"/>
  <c r="C69" i="25"/>
  <c r="C69" i="26" s="1"/>
  <c r="C69" i="42" s="1"/>
  <c r="D69" i="25"/>
  <c r="D69" i="26" s="1"/>
  <c r="D69" i="42" s="1"/>
  <c r="E69" i="25"/>
  <c r="E69" i="26" s="1"/>
  <c r="E69" i="42" s="1"/>
  <c r="F69" i="25"/>
  <c r="F69" i="26" s="1"/>
  <c r="F69" i="42" s="1"/>
  <c r="G69" i="25"/>
  <c r="G69" i="26" s="1"/>
  <c r="G69" i="42" s="1"/>
  <c r="H69" i="25"/>
  <c r="H69" i="26" s="1"/>
  <c r="H69" i="42" s="1"/>
  <c r="I69" i="25"/>
  <c r="I69" i="26" s="1"/>
  <c r="I69" i="42" s="1"/>
  <c r="J69" i="25"/>
  <c r="J69" i="26" s="1"/>
  <c r="C70" i="25"/>
  <c r="C70" i="26" s="1"/>
  <c r="C70" i="42" s="1"/>
  <c r="D70" i="25"/>
  <c r="D70" i="26" s="1"/>
  <c r="D70" i="42" s="1"/>
  <c r="E70" i="25"/>
  <c r="E70" i="26" s="1"/>
  <c r="E70" i="42" s="1"/>
  <c r="F70" i="25"/>
  <c r="F70" i="26" s="1"/>
  <c r="F70" i="42" s="1"/>
  <c r="G70" i="25"/>
  <c r="G70" i="26" s="1"/>
  <c r="G70" i="42" s="1"/>
  <c r="H70" i="25"/>
  <c r="H70" i="26" s="1"/>
  <c r="H70" i="42" s="1"/>
  <c r="I70" i="25"/>
  <c r="I70" i="26" s="1"/>
  <c r="I70" i="42" s="1"/>
  <c r="J70" i="25"/>
  <c r="J70" i="26" s="1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E3" i="26" s="1"/>
  <c r="E3" i="42" s="1"/>
  <c r="F3" i="25"/>
  <c r="F3" i="26" s="1"/>
  <c r="F3" i="42" s="1"/>
  <c r="G3" i="25"/>
  <c r="G3" i="26" s="1"/>
  <c r="G3" i="42" s="1"/>
  <c r="H3" i="25"/>
  <c r="H3" i="26" s="1"/>
  <c r="H3" i="42" s="1"/>
  <c r="J3" i="25"/>
  <c r="J3" i="26" s="1"/>
  <c r="C3" i="25"/>
  <c r="C3" i="26" s="1"/>
  <c r="C3" i="42" s="1"/>
  <c r="D30" i="30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C48" i="40"/>
  <c r="D48" i="40"/>
  <c r="E48" i="40"/>
  <c r="F48" i="40"/>
  <c r="G48" i="40"/>
  <c r="H48" i="40"/>
  <c r="C49" i="40"/>
  <c r="D49" i="40"/>
  <c r="E49" i="40"/>
  <c r="F49" i="40"/>
  <c r="G49" i="40"/>
  <c r="H49" i="40"/>
  <c r="C50" i="40"/>
  <c r="D50" i="40"/>
  <c r="E50" i="40"/>
  <c r="F50" i="40"/>
  <c r="G50" i="40"/>
  <c r="H50" i="40"/>
  <c r="C51" i="40"/>
  <c r="D51" i="40"/>
  <c r="E51" i="40"/>
  <c r="F51" i="40"/>
  <c r="G51" i="40"/>
  <c r="H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D26" i="30"/>
  <c r="D29" i="30"/>
  <c r="D31" i="30"/>
  <c r="D33" i="30"/>
  <c r="D34" i="30"/>
  <c r="D40" i="3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J27" i="42" l="1"/>
  <c r="J55" i="42"/>
  <c r="C4" i="42"/>
  <c r="G17" i="42"/>
  <c r="C25" i="42"/>
  <c r="J54" i="42"/>
  <c r="D48" i="42"/>
  <c r="D25" i="25"/>
  <c r="D25" i="26" s="1"/>
  <c r="D25" i="42" s="1"/>
  <c r="E5" i="42"/>
  <c r="I9" i="42"/>
  <c r="I11" i="42"/>
  <c r="I13" i="42"/>
  <c r="I15" i="42"/>
  <c r="I21" i="42"/>
  <c r="I23" i="42"/>
  <c r="G8" i="42"/>
  <c r="G24" i="42"/>
  <c r="G26" i="42"/>
  <c r="G31" i="42"/>
  <c r="G35" i="42"/>
  <c r="H12" i="42"/>
  <c r="H14" i="42"/>
  <c r="I10" i="42"/>
  <c r="I33" i="42"/>
  <c r="I39" i="42"/>
  <c r="I53" i="42"/>
  <c r="I54" i="42"/>
  <c r="I62" i="42"/>
  <c r="D43" i="25"/>
  <c r="I51" i="26"/>
  <c r="I51" i="42" s="1"/>
  <c r="C4" i="28"/>
  <c r="C4" i="29" s="1"/>
  <c r="C4" i="31" s="1"/>
  <c r="C4" i="32" s="1"/>
  <c r="C4" i="33" s="1"/>
  <c r="I37" i="26"/>
  <c r="I15" i="28"/>
  <c r="H3" i="28"/>
  <c r="H3" i="29" s="1"/>
  <c r="H3" i="31" s="1"/>
  <c r="H3" i="32" s="1"/>
  <c r="H3" i="33" s="1"/>
  <c r="F70" i="28"/>
  <c r="F70" i="29" s="1"/>
  <c r="F70" i="31" s="1"/>
  <c r="F70" i="32" s="1"/>
  <c r="F70" i="33" s="1"/>
  <c r="F69" i="28"/>
  <c r="F69" i="29" s="1"/>
  <c r="F69" i="31" s="1"/>
  <c r="F69" i="32" s="1"/>
  <c r="F69" i="33" s="1"/>
  <c r="F67" i="28"/>
  <c r="F67" i="29" s="1"/>
  <c r="F67" i="31" s="1"/>
  <c r="F67" i="32" s="1"/>
  <c r="F67" i="33" s="1"/>
  <c r="F66" i="28"/>
  <c r="F66" i="29" s="1"/>
  <c r="F66" i="31" s="1"/>
  <c r="F66" i="32" s="1"/>
  <c r="F66" i="33" s="1"/>
  <c r="F65" i="28"/>
  <c r="F65" i="29" s="1"/>
  <c r="F65" i="31" s="1"/>
  <c r="F65" i="32" s="1"/>
  <c r="F65" i="33" s="1"/>
  <c r="F63" i="28"/>
  <c r="F63" i="29" s="1"/>
  <c r="F63" i="31" s="1"/>
  <c r="F63" i="32" s="1"/>
  <c r="F63" i="33" s="1"/>
  <c r="F62" i="28"/>
  <c r="F62" i="29" s="1"/>
  <c r="F62" i="31" s="1"/>
  <c r="F62" i="32" s="1"/>
  <c r="F62" i="33" s="1"/>
  <c r="F61" i="28"/>
  <c r="F61" i="29" s="1"/>
  <c r="F61" i="31" s="1"/>
  <c r="F61" i="32" s="1"/>
  <c r="F61" i="33" s="1"/>
  <c r="F59" i="28"/>
  <c r="F59" i="29" s="1"/>
  <c r="F59" i="31" s="1"/>
  <c r="F59" i="32" s="1"/>
  <c r="F59" i="33" s="1"/>
  <c r="F58" i="28"/>
  <c r="F58" i="29" s="1"/>
  <c r="F58" i="31" s="1"/>
  <c r="F58" i="32" s="1"/>
  <c r="F58" i="33" s="1"/>
  <c r="E57" i="28"/>
  <c r="E57" i="29" s="1"/>
  <c r="E57" i="31" s="1"/>
  <c r="E57" i="32" s="1"/>
  <c r="E57" i="33" s="1"/>
  <c r="G49" i="28"/>
  <c r="G49" i="29" s="1"/>
  <c r="G49" i="31" s="1"/>
  <c r="G49" i="32" s="1"/>
  <c r="G49" i="33" s="1"/>
  <c r="E56" i="28"/>
  <c r="E56" i="29" s="1"/>
  <c r="E56" i="31" s="1"/>
  <c r="E56" i="32" s="1"/>
  <c r="E56" i="33" s="1"/>
  <c r="F3" i="28"/>
  <c r="F3" i="29" s="1"/>
  <c r="F3" i="31" s="1"/>
  <c r="F3" i="32" s="1"/>
  <c r="F3" i="33" s="1"/>
  <c r="D70" i="28"/>
  <c r="D70" i="29" s="1"/>
  <c r="D70" i="31" s="1"/>
  <c r="D70" i="32" s="1"/>
  <c r="D70" i="33" s="1"/>
  <c r="D69" i="28"/>
  <c r="D69" i="29" s="1"/>
  <c r="D69" i="31" s="1"/>
  <c r="D69" i="32" s="1"/>
  <c r="D69" i="33" s="1"/>
  <c r="D67" i="28"/>
  <c r="D67" i="29" s="1"/>
  <c r="D67" i="31" s="1"/>
  <c r="D67" i="32" s="1"/>
  <c r="D67" i="33" s="1"/>
  <c r="D66" i="28"/>
  <c r="D66" i="29" s="1"/>
  <c r="D66" i="31" s="1"/>
  <c r="D66" i="32" s="1"/>
  <c r="D66" i="33" s="1"/>
  <c r="D65" i="28"/>
  <c r="D65" i="29" s="1"/>
  <c r="D65" i="31" s="1"/>
  <c r="D65" i="32" s="1"/>
  <c r="D65" i="33" s="1"/>
  <c r="D64" i="28"/>
  <c r="D64" i="29" s="1"/>
  <c r="D64" i="31" s="1"/>
  <c r="D64" i="32" s="1"/>
  <c r="D64" i="33" s="1"/>
  <c r="D63" i="28"/>
  <c r="D63" i="29" s="1"/>
  <c r="D63" i="31" s="1"/>
  <c r="D63" i="32" s="1"/>
  <c r="D63" i="33" s="1"/>
  <c r="D62" i="28"/>
  <c r="D62" i="29" s="1"/>
  <c r="D62" i="31" s="1"/>
  <c r="D62" i="32" s="1"/>
  <c r="D62" i="33" s="1"/>
  <c r="C57" i="28"/>
  <c r="C57" i="29" s="1"/>
  <c r="C57" i="31" s="1"/>
  <c r="C57" i="32" s="1"/>
  <c r="C57" i="33" s="1"/>
  <c r="C56" i="28"/>
  <c r="C56" i="29" s="1"/>
  <c r="C56" i="31" s="1"/>
  <c r="C56" i="32" s="1"/>
  <c r="C56" i="33" s="1"/>
  <c r="H44" i="28"/>
  <c r="H44" i="29" s="1"/>
  <c r="H44" i="31" s="1"/>
  <c r="H44" i="32" s="1"/>
  <c r="H44" i="33" s="1"/>
  <c r="F43" i="28"/>
  <c r="F43" i="29" s="1"/>
  <c r="F43" i="31" s="1"/>
  <c r="F43" i="32" s="1"/>
  <c r="F43" i="33" s="1"/>
  <c r="C42" i="28"/>
  <c r="C42" i="29" s="1"/>
  <c r="C42" i="31" s="1"/>
  <c r="C42" i="32" s="1"/>
  <c r="C42" i="33" s="1"/>
  <c r="I40" i="28"/>
  <c r="I40" i="29" s="1"/>
  <c r="I40" i="31" s="1"/>
  <c r="I40" i="32" s="1"/>
  <c r="I40" i="33" s="1"/>
  <c r="H39" i="28"/>
  <c r="H39" i="29" s="1"/>
  <c r="H39" i="31" s="1"/>
  <c r="H39" i="32" s="1"/>
  <c r="H39" i="33" s="1"/>
  <c r="F38" i="28"/>
  <c r="F38" i="29" s="1"/>
  <c r="F38" i="31" s="1"/>
  <c r="F38" i="32" s="1"/>
  <c r="F38" i="33" s="1"/>
  <c r="E37" i="28"/>
  <c r="E37" i="29" s="1"/>
  <c r="E37" i="31" s="1"/>
  <c r="E37" i="32" s="1"/>
  <c r="E37" i="33" s="1"/>
  <c r="C36" i="28"/>
  <c r="C36" i="29" s="1"/>
  <c r="C36" i="31" s="1"/>
  <c r="C36" i="32" s="1"/>
  <c r="C36" i="33" s="1"/>
  <c r="J34" i="28"/>
  <c r="J34" i="29" s="1"/>
  <c r="J34" i="31" s="1"/>
  <c r="J34" i="32" s="1"/>
  <c r="J34" i="33" s="1"/>
  <c r="H33" i="28"/>
  <c r="H33" i="29" s="1"/>
  <c r="H33" i="31" s="1"/>
  <c r="H33" i="32" s="1"/>
  <c r="H33" i="33" s="1"/>
  <c r="G32" i="28"/>
  <c r="G32" i="29" s="1"/>
  <c r="G32" i="31" s="1"/>
  <c r="G32" i="32" s="1"/>
  <c r="G32" i="33" s="1"/>
  <c r="F31" i="28"/>
  <c r="F31" i="29" s="1"/>
  <c r="F31" i="31" s="1"/>
  <c r="F31" i="32" s="1"/>
  <c r="F31" i="33" s="1"/>
  <c r="E30" i="28"/>
  <c r="E30" i="29" s="1"/>
  <c r="E30" i="31" s="1"/>
  <c r="E30" i="32" s="1"/>
  <c r="E30" i="33" s="1"/>
  <c r="C29" i="28"/>
  <c r="C29" i="29" s="1"/>
  <c r="C29" i="31" s="1"/>
  <c r="C29" i="32" s="1"/>
  <c r="C29" i="33" s="1"/>
  <c r="I26" i="28"/>
  <c r="I26" i="29" s="1"/>
  <c r="I26" i="31" s="1"/>
  <c r="I26" i="32" s="1"/>
  <c r="I26" i="33" s="1"/>
  <c r="H25" i="28"/>
  <c r="H25" i="29" s="1"/>
  <c r="H25" i="31" s="1"/>
  <c r="H25" i="32" s="1"/>
  <c r="H25" i="33" s="1"/>
  <c r="G20" i="28"/>
  <c r="G20" i="29" s="1"/>
  <c r="G20" i="31" s="1"/>
  <c r="G20" i="32" s="1"/>
  <c r="G20" i="33" s="1"/>
  <c r="G18" i="28"/>
  <c r="G18" i="29" s="1"/>
  <c r="G18" i="31" s="1"/>
  <c r="G18" i="32" s="1"/>
  <c r="G18" i="33" s="1"/>
  <c r="G16" i="28"/>
  <c r="G16" i="29" s="1"/>
  <c r="G16" i="31" s="1"/>
  <c r="G16" i="32" s="1"/>
  <c r="G16" i="33" s="1"/>
  <c r="G14" i="28"/>
  <c r="G14" i="29" s="1"/>
  <c r="G14" i="31" s="1"/>
  <c r="G14" i="32" s="1"/>
  <c r="G14" i="33" s="1"/>
  <c r="G12" i="28"/>
  <c r="G12" i="29" s="1"/>
  <c r="G12" i="31" s="1"/>
  <c r="G12" i="32" s="1"/>
  <c r="G12" i="33" s="1"/>
  <c r="G10" i="28"/>
  <c r="G10" i="29" s="1"/>
  <c r="G10" i="31" s="1"/>
  <c r="G10" i="32" s="1"/>
  <c r="G10" i="33" s="1"/>
  <c r="J7" i="28"/>
  <c r="J7" i="29" s="1"/>
  <c r="J7" i="31" s="1"/>
  <c r="J7" i="32" s="1"/>
  <c r="J7" i="33" s="1"/>
  <c r="E52" i="28"/>
  <c r="E52" i="29" s="1"/>
  <c r="E52" i="31" s="1"/>
  <c r="E52" i="32" s="1"/>
  <c r="E52" i="33" s="1"/>
  <c r="E47" i="28"/>
  <c r="E47" i="29" s="1"/>
  <c r="E47" i="31" s="1"/>
  <c r="E47" i="32" s="1"/>
  <c r="E47" i="33" s="1"/>
  <c r="H42" i="28"/>
  <c r="H42" i="29" s="1"/>
  <c r="H42" i="31" s="1"/>
  <c r="H42" i="32" s="1"/>
  <c r="H42" i="33" s="1"/>
  <c r="I52" i="28"/>
  <c r="I52" i="29" s="1"/>
  <c r="I52" i="31" s="1"/>
  <c r="I52" i="32" s="1"/>
  <c r="I52" i="33" s="1"/>
  <c r="H51" i="28"/>
  <c r="H51" i="29" s="1"/>
  <c r="H51" i="31" s="1"/>
  <c r="H51" i="32" s="1"/>
  <c r="H51" i="33" s="1"/>
  <c r="G50" i="28"/>
  <c r="G50" i="29" s="1"/>
  <c r="G50" i="31" s="1"/>
  <c r="G50" i="32" s="1"/>
  <c r="G50" i="33" s="1"/>
  <c r="E49" i="28"/>
  <c r="E49" i="29" s="1"/>
  <c r="E49" i="31" s="1"/>
  <c r="E49" i="32" s="1"/>
  <c r="E49" i="33" s="1"/>
  <c r="C48" i="28"/>
  <c r="C48" i="29" s="1"/>
  <c r="C48" i="31" s="1"/>
  <c r="C48" i="32" s="1"/>
  <c r="C48" i="33" s="1"/>
  <c r="I46" i="28"/>
  <c r="I46" i="29" s="1"/>
  <c r="I46" i="31" s="1"/>
  <c r="I46" i="32" s="1"/>
  <c r="I46" i="33" s="1"/>
  <c r="H45" i="28"/>
  <c r="H45" i="29" s="1"/>
  <c r="H45" i="31" s="1"/>
  <c r="H45" i="32" s="1"/>
  <c r="H45" i="33" s="1"/>
  <c r="G44" i="28"/>
  <c r="G44" i="29" s="1"/>
  <c r="G44" i="31" s="1"/>
  <c r="G44" i="32" s="1"/>
  <c r="G44" i="33" s="1"/>
  <c r="E43" i="28"/>
  <c r="E43" i="29" s="1"/>
  <c r="E43" i="31" s="1"/>
  <c r="E43" i="32" s="1"/>
  <c r="E43" i="33" s="1"/>
  <c r="J41" i="28"/>
  <c r="J41" i="29" s="1"/>
  <c r="J41" i="31" s="1"/>
  <c r="J41" i="32" s="1"/>
  <c r="J41" i="33" s="1"/>
  <c r="H40" i="28"/>
  <c r="H40" i="29" s="1"/>
  <c r="H40" i="31" s="1"/>
  <c r="H40" i="32" s="1"/>
  <c r="H40" i="33" s="1"/>
  <c r="G39" i="28"/>
  <c r="G39" i="29" s="1"/>
  <c r="G39" i="31" s="1"/>
  <c r="G39" i="32" s="1"/>
  <c r="G39" i="33" s="1"/>
  <c r="E38" i="28"/>
  <c r="E38" i="29" s="1"/>
  <c r="E38" i="31" s="1"/>
  <c r="E38" i="32" s="1"/>
  <c r="E38" i="33" s="1"/>
  <c r="C37" i="28"/>
  <c r="C37" i="29" s="1"/>
  <c r="C37" i="31" s="1"/>
  <c r="C37" i="32" s="1"/>
  <c r="C37" i="33" s="1"/>
  <c r="J35" i="28"/>
  <c r="J35" i="29" s="1"/>
  <c r="J35" i="31" s="1"/>
  <c r="J35" i="32" s="1"/>
  <c r="J35" i="33" s="1"/>
  <c r="H34" i="28"/>
  <c r="H34" i="29" s="1"/>
  <c r="H34" i="31" s="1"/>
  <c r="H34" i="32" s="1"/>
  <c r="H34" i="33" s="1"/>
  <c r="G33" i="28"/>
  <c r="G33" i="29" s="1"/>
  <c r="G33" i="31" s="1"/>
  <c r="G33" i="32" s="1"/>
  <c r="G33" i="33" s="1"/>
  <c r="F32" i="28"/>
  <c r="F32" i="29" s="1"/>
  <c r="F32" i="31" s="1"/>
  <c r="F32" i="32" s="1"/>
  <c r="F32" i="33" s="1"/>
  <c r="E31" i="28"/>
  <c r="E31" i="29" s="1"/>
  <c r="E31" i="31" s="1"/>
  <c r="E31" i="32" s="1"/>
  <c r="E31" i="33" s="1"/>
  <c r="C30" i="28"/>
  <c r="C30" i="29" s="1"/>
  <c r="C30" i="31" s="1"/>
  <c r="C30" i="32" s="1"/>
  <c r="C30" i="33" s="1"/>
  <c r="I27" i="28"/>
  <c r="I27" i="29" s="1"/>
  <c r="I27" i="31" s="1"/>
  <c r="I27" i="32" s="1"/>
  <c r="I27" i="33" s="1"/>
  <c r="H26" i="28"/>
  <c r="H26" i="29" s="1"/>
  <c r="H26" i="31" s="1"/>
  <c r="H26" i="32" s="1"/>
  <c r="H26" i="33" s="1"/>
  <c r="G25" i="28"/>
  <c r="G25" i="29" s="1"/>
  <c r="G25" i="31" s="1"/>
  <c r="G25" i="32" s="1"/>
  <c r="G25" i="33" s="1"/>
  <c r="J23" i="28"/>
  <c r="J23" i="29" s="1"/>
  <c r="J23" i="31" s="1"/>
  <c r="J23" i="32" s="1"/>
  <c r="J23" i="33" s="1"/>
  <c r="J21" i="28"/>
  <c r="J21" i="29" s="1"/>
  <c r="J21" i="31" s="1"/>
  <c r="J21" i="32" s="1"/>
  <c r="J21" i="33" s="1"/>
  <c r="J19" i="28"/>
  <c r="J19" i="29" s="1"/>
  <c r="J19" i="31" s="1"/>
  <c r="J19" i="32" s="1"/>
  <c r="J19" i="33" s="1"/>
  <c r="J13" i="28"/>
  <c r="J13" i="29" s="1"/>
  <c r="J13" i="31" s="1"/>
  <c r="J13" i="32" s="1"/>
  <c r="J13" i="33" s="1"/>
  <c r="J11" i="28"/>
  <c r="J11" i="29" s="1"/>
  <c r="J11" i="31" s="1"/>
  <c r="J11" i="32" s="1"/>
  <c r="J11" i="33" s="1"/>
  <c r="J9" i="28"/>
  <c r="J9" i="29" s="1"/>
  <c r="J9" i="31" s="1"/>
  <c r="J9" i="32" s="1"/>
  <c r="J9" i="33" s="1"/>
  <c r="D6" i="28"/>
  <c r="D6" i="29" s="1"/>
  <c r="D6" i="31" s="1"/>
  <c r="D6" i="32" s="1"/>
  <c r="D6" i="33" s="1"/>
  <c r="C5" i="28"/>
  <c r="C5" i="29" s="1"/>
  <c r="C5" i="31" s="1"/>
  <c r="C5" i="32" s="1"/>
  <c r="C5" i="33" s="1"/>
  <c r="E67" i="28"/>
  <c r="E67" i="29" s="1"/>
  <c r="E67" i="31" s="1"/>
  <c r="E67" i="32" s="1"/>
  <c r="E67" i="33" s="1"/>
  <c r="E63" i="28"/>
  <c r="E63" i="29" s="1"/>
  <c r="E63" i="31" s="1"/>
  <c r="E63" i="32" s="1"/>
  <c r="E63" i="33" s="1"/>
  <c r="E60" i="28"/>
  <c r="E60" i="29" s="1"/>
  <c r="E60" i="31" s="1"/>
  <c r="E60" i="32" s="1"/>
  <c r="E60" i="33" s="1"/>
  <c r="D57" i="28"/>
  <c r="D57" i="29" s="1"/>
  <c r="D57" i="31" s="1"/>
  <c r="D57" i="32" s="1"/>
  <c r="D57" i="33" s="1"/>
  <c r="C54" i="28"/>
  <c r="C54" i="29" s="1"/>
  <c r="C54" i="31" s="1"/>
  <c r="C54" i="32" s="1"/>
  <c r="C54" i="33" s="1"/>
  <c r="E48" i="28"/>
  <c r="E48" i="29" s="1"/>
  <c r="E48" i="31" s="1"/>
  <c r="E48" i="32" s="1"/>
  <c r="E48" i="33" s="1"/>
  <c r="C28" i="28"/>
  <c r="C28" i="29" s="1"/>
  <c r="C28" i="31" s="1"/>
  <c r="C28" i="32" s="1"/>
  <c r="C28" i="33" s="1"/>
  <c r="H18" i="28"/>
  <c r="H18" i="29" s="1"/>
  <c r="H18" i="31" s="1"/>
  <c r="H18" i="32" s="1"/>
  <c r="H18" i="33" s="1"/>
  <c r="F5" i="28"/>
  <c r="F5" i="29" s="1"/>
  <c r="F5" i="31" s="1"/>
  <c r="F5" i="32" s="1"/>
  <c r="F5" i="33" s="1"/>
  <c r="F60" i="28"/>
  <c r="F60" i="29" s="1"/>
  <c r="F60" i="31" s="1"/>
  <c r="F60" i="32" s="1"/>
  <c r="F60" i="33" s="1"/>
  <c r="D61" i="28"/>
  <c r="D61" i="29" s="1"/>
  <c r="D61" i="31" s="1"/>
  <c r="D61" i="32" s="1"/>
  <c r="D61" i="33" s="1"/>
  <c r="J67" i="28"/>
  <c r="J67" i="29" s="1"/>
  <c r="J67" i="31" s="1"/>
  <c r="J67" i="32" s="1"/>
  <c r="J67" i="33" s="1"/>
  <c r="J62" i="28"/>
  <c r="J62" i="29" s="1"/>
  <c r="J62" i="31" s="1"/>
  <c r="J62" i="32" s="1"/>
  <c r="J62" i="33" s="1"/>
  <c r="I56" i="28"/>
  <c r="I56" i="29" s="1"/>
  <c r="I56" i="31" s="1"/>
  <c r="I56" i="32" s="1"/>
  <c r="I56" i="33" s="1"/>
  <c r="H53" i="28"/>
  <c r="H53" i="29" s="1"/>
  <c r="H53" i="31" s="1"/>
  <c r="H53" i="32" s="1"/>
  <c r="H53" i="33" s="1"/>
  <c r="H47" i="28"/>
  <c r="H47" i="29" s="1"/>
  <c r="H47" i="31" s="1"/>
  <c r="H47" i="32" s="1"/>
  <c r="H47" i="33" s="1"/>
  <c r="C43" i="28"/>
  <c r="C43" i="29" s="1"/>
  <c r="C43" i="31" s="1"/>
  <c r="C43" i="32" s="1"/>
  <c r="C43" i="33" s="1"/>
  <c r="G40" i="28"/>
  <c r="G40" i="29" s="1"/>
  <c r="G40" i="31" s="1"/>
  <c r="G40" i="32" s="1"/>
  <c r="G40" i="33" s="1"/>
  <c r="F39" i="28"/>
  <c r="F39" i="29" s="1"/>
  <c r="F39" i="31" s="1"/>
  <c r="F39" i="32" s="1"/>
  <c r="F39" i="33" s="1"/>
  <c r="I35" i="28"/>
  <c r="I35" i="29" s="1"/>
  <c r="D41" i="26"/>
  <c r="D41" i="42" s="1"/>
  <c r="G34" i="28"/>
  <c r="G34" i="29" s="1"/>
  <c r="G34" i="31" s="1"/>
  <c r="G34" i="32" s="1"/>
  <c r="G34" i="33" s="1"/>
  <c r="E32" i="28"/>
  <c r="E32" i="29" s="1"/>
  <c r="E32" i="31" s="1"/>
  <c r="E32" i="32" s="1"/>
  <c r="E32" i="33" s="1"/>
  <c r="C31" i="28"/>
  <c r="C31" i="29" s="1"/>
  <c r="C31" i="31" s="1"/>
  <c r="C31" i="32" s="1"/>
  <c r="C31" i="33" s="1"/>
  <c r="J29" i="28"/>
  <c r="J29" i="29" s="1"/>
  <c r="J29" i="31" s="1"/>
  <c r="J29" i="32" s="1"/>
  <c r="J29" i="33" s="1"/>
  <c r="H27" i="28"/>
  <c r="H27" i="29" s="1"/>
  <c r="H27" i="31" s="1"/>
  <c r="H27" i="32" s="1"/>
  <c r="H27" i="33" s="1"/>
  <c r="F25" i="28"/>
  <c r="F25" i="29" s="1"/>
  <c r="F25" i="31" s="1"/>
  <c r="F25" i="32" s="1"/>
  <c r="F25" i="33" s="1"/>
  <c r="H7" i="28"/>
  <c r="H7" i="29" s="1"/>
  <c r="H7" i="31" s="1"/>
  <c r="H7" i="32" s="1"/>
  <c r="H7" i="33" s="1"/>
  <c r="E3" i="28"/>
  <c r="E3" i="29" s="1"/>
  <c r="E3" i="31" s="1"/>
  <c r="E3" i="32" s="1"/>
  <c r="E3" i="33" s="1"/>
  <c r="E55" i="28"/>
  <c r="E55" i="29" s="1"/>
  <c r="E55" i="31" s="1"/>
  <c r="E55" i="32" s="1"/>
  <c r="E55" i="33" s="1"/>
  <c r="D51" i="28"/>
  <c r="D51" i="29" s="1"/>
  <c r="D51" i="31" s="1"/>
  <c r="D51" i="32" s="1"/>
  <c r="D51" i="33" s="1"/>
  <c r="E46" i="28"/>
  <c r="E46" i="29" s="1"/>
  <c r="E46" i="31" s="1"/>
  <c r="E46" i="32" s="1"/>
  <c r="E46" i="33" s="1"/>
  <c r="F41" i="28"/>
  <c r="F41" i="29" s="1"/>
  <c r="F41" i="31" s="1"/>
  <c r="F41" i="32" s="1"/>
  <c r="F41" i="33" s="1"/>
  <c r="D68" i="28"/>
  <c r="D68" i="29" s="1"/>
  <c r="D68" i="31" s="1"/>
  <c r="D68" i="32" s="1"/>
  <c r="D68" i="33" s="1"/>
  <c r="F33" i="28"/>
  <c r="F33" i="29" s="1"/>
  <c r="F33" i="31" s="1"/>
  <c r="F33" i="32" s="1"/>
  <c r="F33" i="33" s="1"/>
  <c r="I70" i="28"/>
  <c r="I70" i="29" s="1"/>
  <c r="I70" i="31" s="1"/>
  <c r="I70" i="32" s="1"/>
  <c r="I70" i="33" s="1"/>
  <c r="I65" i="28"/>
  <c r="I65" i="29" s="1"/>
  <c r="I65" i="31" s="1"/>
  <c r="I65" i="32" s="1"/>
  <c r="I65" i="33" s="1"/>
  <c r="I61" i="28"/>
  <c r="I61" i="29" s="1"/>
  <c r="I61" i="31" s="1"/>
  <c r="I61" i="32" s="1"/>
  <c r="I61" i="33" s="1"/>
  <c r="I59" i="28"/>
  <c r="I59" i="29" s="1"/>
  <c r="I59" i="31" s="1"/>
  <c r="I59" i="32" s="1"/>
  <c r="I59" i="33" s="1"/>
  <c r="H56" i="28"/>
  <c r="H56" i="29" s="1"/>
  <c r="H56" i="31" s="1"/>
  <c r="H56" i="32" s="1"/>
  <c r="H56" i="33" s="1"/>
  <c r="G54" i="28"/>
  <c r="G54" i="29" s="1"/>
  <c r="G54" i="31" s="1"/>
  <c r="G54" i="32" s="1"/>
  <c r="G54" i="33" s="1"/>
  <c r="F51" i="28"/>
  <c r="F51" i="29" s="1"/>
  <c r="F51" i="31" s="1"/>
  <c r="F51" i="32" s="1"/>
  <c r="F51" i="33" s="1"/>
  <c r="G46" i="28"/>
  <c r="G46" i="29" s="1"/>
  <c r="G46" i="31" s="1"/>
  <c r="G46" i="32" s="1"/>
  <c r="G46" i="33" s="1"/>
  <c r="E44" i="28"/>
  <c r="E44" i="29" s="1"/>
  <c r="E44" i="31" s="1"/>
  <c r="E44" i="32" s="1"/>
  <c r="E44" i="33" s="1"/>
  <c r="J42" i="28"/>
  <c r="J42" i="29" s="1"/>
  <c r="J42" i="31" s="1"/>
  <c r="J42" i="32" s="1"/>
  <c r="J42" i="33" s="1"/>
  <c r="F40" i="28"/>
  <c r="F40" i="29" s="1"/>
  <c r="F40" i="31" s="1"/>
  <c r="F40" i="32" s="1"/>
  <c r="F40" i="33" s="1"/>
  <c r="E39" i="28"/>
  <c r="E39" i="29" s="1"/>
  <c r="E39" i="31" s="1"/>
  <c r="E39" i="32" s="1"/>
  <c r="E39" i="33" s="1"/>
  <c r="J37" i="28"/>
  <c r="J37" i="29" s="1"/>
  <c r="J37" i="31" s="1"/>
  <c r="J37" i="32" s="1"/>
  <c r="J37" i="33" s="1"/>
  <c r="I36" i="26"/>
  <c r="I36" i="42" s="1"/>
  <c r="D42" i="25"/>
  <c r="H35" i="28"/>
  <c r="H35" i="29" s="1"/>
  <c r="H35" i="31" s="1"/>
  <c r="H35" i="32" s="1"/>
  <c r="H35" i="33" s="1"/>
  <c r="F34" i="28"/>
  <c r="F34" i="29" s="1"/>
  <c r="F34" i="31" s="1"/>
  <c r="F34" i="32" s="1"/>
  <c r="F34" i="33" s="1"/>
  <c r="C32" i="28"/>
  <c r="C32" i="29" s="1"/>
  <c r="C32" i="31" s="1"/>
  <c r="C32" i="32" s="1"/>
  <c r="C32" i="33" s="1"/>
  <c r="J30" i="28"/>
  <c r="J30" i="29" s="1"/>
  <c r="J30" i="31" s="1"/>
  <c r="J30" i="32" s="1"/>
  <c r="J30" i="33" s="1"/>
  <c r="H28" i="28"/>
  <c r="H28" i="29" s="1"/>
  <c r="H28" i="31" s="1"/>
  <c r="H28" i="32" s="1"/>
  <c r="H28" i="33" s="1"/>
  <c r="G27" i="28"/>
  <c r="G27" i="29" s="1"/>
  <c r="G27" i="31" s="1"/>
  <c r="G27" i="32" s="1"/>
  <c r="G27" i="33" s="1"/>
  <c r="F26" i="28"/>
  <c r="F26" i="29" s="1"/>
  <c r="F26" i="31" s="1"/>
  <c r="F26" i="32" s="1"/>
  <c r="F26" i="33" s="1"/>
  <c r="E25" i="28"/>
  <c r="E25" i="29" s="1"/>
  <c r="E25" i="31" s="1"/>
  <c r="E25" i="32" s="1"/>
  <c r="E25" i="33" s="1"/>
  <c r="H23" i="28"/>
  <c r="H23" i="29" s="1"/>
  <c r="H23" i="31" s="1"/>
  <c r="H23" i="32" s="1"/>
  <c r="H23" i="33" s="1"/>
  <c r="H21" i="28"/>
  <c r="H21" i="29" s="1"/>
  <c r="H21" i="31" s="1"/>
  <c r="H21" i="32" s="1"/>
  <c r="H21" i="33" s="1"/>
  <c r="H19" i="28"/>
  <c r="H19" i="29" s="1"/>
  <c r="H19" i="31" s="1"/>
  <c r="H19" i="32" s="1"/>
  <c r="H19" i="33" s="1"/>
  <c r="H17" i="28"/>
  <c r="H17" i="29" s="1"/>
  <c r="H17" i="31" s="1"/>
  <c r="H17" i="32" s="1"/>
  <c r="H17" i="33" s="1"/>
  <c r="H15" i="28"/>
  <c r="H15" i="29" s="1"/>
  <c r="H15" i="31" s="1"/>
  <c r="H15" i="32" s="1"/>
  <c r="H15" i="33" s="1"/>
  <c r="H13" i="28"/>
  <c r="H13" i="29" s="1"/>
  <c r="H13" i="31" s="1"/>
  <c r="H13" i="32" s="1"/>
  <c r="H13" i="33" s="1"/>
  <c r="H11" i="28"/>
  <c r="H11" i="29" s="1"/>
  <c r="H11" i="31" s="1"/>
  <c r="H11" i="32" s="1"/>
  <c r="H11" i="33" s="1"/>
  <c r="H9" i="28"/>
  <c r="H9" i="29" s="1"/>
  <c r="H9" i="31" s="1"/>
  <c r="H9" i="32" s="1"/>
  <c r="H9" i="33" s="1"/>
  <c r="G7" i="28"/>
  <c r="G7" i="29" s="1"/>
  <c r="G7" i="31" s="1"/>
  <c r="G7" i="32" s="1"/>
  <c r="G7" i="33" s="1"/>
  <c r="J5" i="28"/>
  <c r="J5" i="29" s="1"/>
  <c r="J5" i="31" s="1"/>
  <c r="J5" i="32" s="1"/>
  <c r="J5" i="33" s="1"/>
  <c r="H4" i="28"/>
  <c r="H4" i="29" s="1"/>
  <c r="H4" i="31" s="1"/>
  <c r="H4" i="32" s="1"/>
  <c r="H4" i="33" s="1"/>
  <c r="E70" i="28"/>
  <c r="E70" i="29" s="1"/>
  <c r="E70" i="31" s="1"/>
  <c r="E70" i="32" s="1"/>
  <c r="E70" i="33" s="1"/>
  <c r="E66" i="28"/>
  <c r="E66" i="29" s="1"/>
  <c r="E66" i="31" s="1"/>
  <c r="E66" i="32" s="1"/>
  <c r="E66" i="33" s="1"/>
  <c r="E61" i="28"/>
  <c r="E61" i="29" s="1"/>
  <c r="E61" i="31" s="1"/>
  <c r="E61" i="32" s="1"/>
  <c r="E61" i="33" s="1"/>
  <c r="J44" i="28"/>
  <c r="J44" i="29" s="1"/>
  <c r="J44" i="31" s="1"/>
  <c r="J44" i="32" s="1"/>
  <c r="J44" i="33" s="1"/>
  <c r="H22" i="28"/>
  <c r="H22" i="29" s="1"/>
  <c r="H22" i="31" s="1"/>
  <c r="H22" i="32" s="1"/>
  <c r="H22" i="33" s="1"/>
  <c r="H10" i="28"/>
  <c r="H10" i="29" s="1"/>
  <c r="H10" i="31" s="1"/>
  <c r="H10" i="32" s="1"/>
  <c r="H10" i="33" s="1"/>
  <c r="D58" i="28"/>
  <c r="D58" i="29" s="1"/>
  <c r="D58" i="31" s="1"/>
  <c r="D58" i="32" s="1"/>
  <c r="D58" i="33" s="1"/>
  <c r="J69" i="28"/>
  <c r="J69" i="29" s="1"/>
  <c r="J69" i="31" s="1"/>
  <c r="J69" i="32" s="1"/>
  <c r="J69" i="33" s="1"/>
  <c r="J66" i="28"/>
  <c r="J66" i="29" s="1"/>
  <c r="J66" i="31" s="1"/>
  <c r="J66" i="32" s="1"/>
  <c r="J66" i="33" s="1"/>
  <c r="J63" i="28"/>
  <c r="J63" i="29" s="1"/>
  <c r="J63" i="31" s="1"/>
  <c r="J63" i="32" s="1"/>
  <c r="J63" i="33" s="1"/>
  <c r="J60" i="28"/>
  <c r="J60" i="29" s="1"/>
  <c r="J60" i="31" s="1"/>
  <c r="J60" i="32" s="1"/>
  <c r="J60" i="33" s="1"/>
  <c r="J59" i="28"/>
  <c r="J59" i="29" s="1"/>
  <c r="J59" i="31" s="1"/>
  <c r="J59" i="32" s="1"/>
  <c r="J59" i="33" s="1"/>
  <c r="H55" i="28"/>
  <c r="H55" i="29" s="1"/>
  <c r="H55" i="31" s="1"/>
  <c r="H55" i="32" s="1"/>
  <c r="H55" i="33" s="1"/>
  <c r="G51" i="28"/>
  <c r="G51" i="29" s="1"/>
  <c r="G51" i="31" s="1"/>
  <c r="G51" i="32" s="1"/>
  <c r="G51" i="33" s="1"/>
  <c r="D49" i="28"/>
  <c r="D49" i="29" s="1"/>
  <c r="D49" i="31" s="1"/>
  <c r="D49" i="32" s="1"/>
  <c r="D49" i="33" s="1"/>
  <c r="G45" i="28"/>
  <c r="G45" i="29" s="1"/>
  <c r="G45" i="31" s="1"/>
  <c r="G45" i="32" s="1"/>
  <c r="G45" i="33" s="1"/>
  <c r="C38" i="28"/>
  <c r="C38" i="29" s="1"/>
  <c r="C38" i="31" s="1"/>
  <c r="C38" i="32" s="1"/>
  <c r="C38" i="33" s="1"/>
  <c r="I68" i="28"/>
  <c r="I68" i="29" s="1"/>
  <c r="I68" i="31" s="1"/>
  <c r="I68" i="32" s="1"/>
  <c r="I68" i="33" s="1"/>
  <c r="I67" i="28"/>
  <c r="I67" i="29" s="1"/>
  <c r="I67" i="31" s="1"/>
  <c r="I67" i="32" s="1"/>
  <c r="I67" i="33" s="1"/>
  <c r="I66" i="28"/>
  <c r="I66" i="29" s="1"/>
  <c r="I66" i="31" s="1"/>
  <c r="I66" i="32" s="1"/>
  <c r="I66" i="33" s="1"/>
  <c r="I63" i="26"/>
  <c r="I63" i="42" s="1"/>
  <c r="D44" i="25"/>
  <c r="I60" i="28"/>
  <c r="I60" i="29" s="1"/>
  <c r="I60" i="31" s="1"/>
  <c r="I60" i="32" s="1"/>
  <c r="I60" i="33" s="1"/>
  <c r="I58" i="26"/>
  <c r="I58" i="42" s="1"/>
  <c r="I57" i="25"/>
  <c r="G55" i="28"/>
  <c r="G55" i="29" s="1"/>
  <c r="G55" i="31" s="1"/>
  <c r="G55" i="32" s="1"/>
  <c r="G55" i="33" s="1"/>
  <c r="G53" i="28"/>
  <c r="G53" i="29" s="1"/>
  <c r="G53" i="31" s="1"/>
  <c r="G53" i="32" s="1"/>
  <c r="G53" i="33" s="1"/>
  <c r="G47" i="28"/>
  <c r="G47" i="29" s="1"/>
  <c r="G47" i="31" s="1"/>
  <c r="G47" i="32" s="1"/>
  <c r="G47" i="33" s="1"/>
  <c r="G41" i="28"/>
  <c r="G41" i="29" s="1"/>
  <c r="G41" i="31" s="1"/>
  <c r="G41" i="32" s="1"/>
  <c r="G41" i="33" s="1"/>
  <c r="I29" i="28"/>
  <c r="I29" i="29" s="1"/>
  <c r="I29" i="31" s="1"/>
  <c r="I29" i="32" s="1"/>
  <c r="I29" i="33" s="1"/>
  <c r="C3" i="28"/>
  <c r="C3" i="29" s="1"/>
  <c r="C3" i="31" s="1"/>
  <c r="C3" i="32" s="1"/>
  <c r="C3" i="33" s="1"/>
  <c r="H70" i="28"/>
  <c r="H70" i="29" s="1"/>
  <c r="H70" i="31" s="1"/>
  <c r="H70" i="32" s="1"/>
  <c r="H70" i="33" s="1"/>
  <c r="H69" i="28"/>
  <c r="H69" i="29" s="1"/>
  <c r="H69" i="31" s="1"/>
  <c r="H69" i="32" s="1"/>
  <c r="H69" i="33" s="1"/>
  <c r="H68" i="28"/>
  <c r="H68" i="29" s="1"/>
  <c r="H68" i="31" s="1"/>
  <c r="H68" i="32" s="1"/>
  <c r="H68" i="33" s="1"/>
  <c r="H67" i="28"/>
  <c r="H67" i="29" s="1"/>
  <c r="H67" i="31" s="1"/>
  <c r="H67" i="32" s="1"/>
  <c r="H67" i="33" s="1"/>
  <c r="H66" i="28"/>
  <c r="H66" i="29" s="1"/>
  <c r="H66" i="31" s="1"/>
  <c r="H66" i="32" s="1"/>
  <c r="H66" i="33" s="1"/>
  <c r="H65" i="28"/>
  <c r="H65" i="29" s="1"/>
  <c r="H65" i="31" s="1"/>
  <c r="H65" i="32" s="1"/>
  <c r="H65" i="33" s="1"/>
  <c r="H64" i="28"/>
  <c r="H64" i="29" s="1"/>
  <c r="H64" i="31" s="1"/>
  <c r="H64" i="32" s="1"/>
  <c r="H64" i="33" s="1"/>
  <c r="H63" i="28"/>
  <c r="H63" i="29" s="1"/>
  <c r="H63" i="31" s="1"/>
  <c r="H63" i="32" s="1"/>
  <c r="H63" i="33" s="1"/>
  <c r="H62" i="28"/>
  <c r="H62" i="29" s="1"/>
  <c r="H62" i="31" s="1"/>
  <c r="H62" i="32" s="1"/>
  <c r="H62" i="33" s="1"/>
  <c r="H61" i="28"/>
  <c r="H61" i="29" s="1"/>
  <c r="H61" i="31" s="1"/>
  <c r="H61" i="32" s="1"/>
  <c r="H61" i="33" s="1"/>
  <c r="H60" i="28"/>
  <c r="H60" i="29" s="1"/>
  <c r="H60" i="31" s="1"/>
  <c r="H60" i="32" s="1"/>
  <c r="H60" i="33" s="1"/>
  <c r="H59" i="28"/>
  <c r="H59" i="29" s="1"/>
  <c r="H59" i="31" s="1"/>
  <c r="H59" i="32" s="1"/>
  <c r="H59" i="33" s="1"/>
  <c r="H58" i="28"/>
  <c r="H58" i="29" s="1"/>
  <c r="H58" i="31" s="1"/>
  <c r="H58" i="32" s="1"/>
  <c r="H58" i="33" s="1"/>
  <c r="G57" i="28"/>
  <c r="G57" i="29" s="1"/>
  <c r="G57" i="31" s="1"/>
  <c r="G57" i="32" s="1"/>
  <c r="G57" i="33" s="1"/>
  <c r="G56" i="28"/>
  <c r="G56" i="29" s="1"/>
  <c r="G56" i="31" s="1"/>
  <c r="G56" i="32" s="1"/>
  <c r="G56" i="33" s="1"/>
  <c r="F55" i="28"/>
  <c r="F55" i="29" s="1"/>
  <c r="F55" i="31" s="1"/>
  <c r="F55" i="32" s="1"/>
  <c r="F55" i="33" s="1"/>
  <c r="F54" i="28"/>
  <c r="F54" i="29" s="1"/>
  <c r="F54" i="31" s="1"/>
  <c r="F54" i="32" s="1"/>
  <c r="F54" i="33" s="1"/>
  <c r="F53" i="28"/>
  <c r="F53" i="29" s="1"/>
  <c r="F53" i="31" s="1"/>
  <c r="F53" i="32" s="1"/>
  <c r="F53" i="33" s="1"/>
  <c r="F52" i="28"/>
  <c r="F52" i="29" s="1"/>
  <c r="F52" i="31" s="1"/>
  <c r="F52" i="32" s="1"/>
  <c r="F52" i="33" s="1"/>
  <c r="E51" i="28"/>
  <c r="E51" i="29" s="1"/>
  <c r="E51" i="31" s="1"/>
  <c r="E51" i="32" s="1"/>
  <c r="E51" i="33" s="1"/>
  <c r="D50" i="28"/>
  <c r="D50" i="29" s="1"/>
  <c r="D50" i="31" s="1"/>
  <c r="D50" i="32" s="1"/>
  <c r="D50" i="33" s="1"/>
  <c r="H48" i="28"/>
  <c r="H48" i="29" s="1"/>
  <c r="H48" i="31" s="1"/>
  <c r="H48" i="32" s="1"/>
  <c r="H48" i="33" s="1"/>
  <c r="F47" i="28"/>
  <c r="F47" i="29" s="1"/>
  <c r="F47" i="31" s="1"/>
  <c r="F47" i="32" s="1"/>
  <c r="F47" i="33" s="1"/>
  <c r="F46" i="28"/>
  <c r="F46" i="29" s="1"/>
  <c r="F46" i="31" s="1"/>
  <c r="F46" i="32" s="1"/>
  <c r="F46" i="33" s="1"/>
  <c r="E45" i="28"/>
  <c r="E45" i="29" s="1"/>
  <c r="E45" i="31" s="1"/>
  <c r="E45" i="32" s="1"/>
  <c r="E45" i="33" s="1"/>
  <c r="H29" i="28"/>
  <c r="H29" i="29" s="1"/>
  <c r="H29" i="31" s="1"/>
  <c r="H29" i="32" s="1"/>
  <c r="H29" i="33" s="1"/>
  <c r="G28" i="28"/>
  <c r="G28" i="29" s="1"/>
  <c r="G28" i="31" s="1"/>
  <c r="G28" i="32" s="1"/>
  <c r="G28" i="33" s="1"/>
  <c r="E26" i="28"/>
  <c r="E26" i="29" s="1"/>
  <c r="E26" i="31" s="1"/>
  <c r="E26" i="32" s="1"/>
  <c r="E26" i="33" s="1"/>
  <c r="G4" i="28"/>
  <c r="G4" i="29" s="1"/>
  <c r="G4" i="31" s="1"/>
  <c r="G4" i="32" s="1"/>
  <c r="G4" i="33" s="1"/>
  <c r="D25" i="28"/>
  <c r="E54" i="28"/>
  <c r="E54" i="29" s="1"/>
  <c r="E54" i="31" s="1"/>
  <c r="E54" i="32" s="1"/>
  <c r="E54" i="33" s="1"/>
  <c r="C50" i="28"/>
  <c r="C50" i="29" s="1"/>
  <c r="C50" i="31" s="1"/>
  <c r="C50" i="32" s="1"/>
  <c r="C50" i="33" s="1"/>
  <c r="D45" i="28"/>
  <c r="D45" i="29" s="1"/>
  <c r="D45" i="31" s="1"/>
  <c r="D45" i="32" s="1"/>
  <c r="D45" i="33" s="1"/>
  <c r="E40" i="28"/>
  <c r="E40" i="29" s="1"/>
  <c r="E40" i="31" s="1"/>
  <c r="E40" i="32" s="1"/>
  <c r="E40" i="33" s="1"/>
  <c r="G3" i="28"/>
  <c r="G3" i="29" s="1"/>
  <c r="G3" i="31" s="1"/>
  <c r="G3" i="32" s="1"/>
  <c r="G3" i="33" s="1"/>
  <c r="E68" i="28"/>
  <c r="E68" i="29" s="1"/>
  <c r="E68" i="31" s="1"/>
  <c r="E68" i="32" s="1"/>
  <c r="E68" i="33" s="1"/>
  <c r="E64" i="28"/>
  <c r="E64" i="29" s="1"/>
  <c r="E64" i="31" s="1"/>
  <c r="E64" i="32" s="1"/>
  <c r="E64" i="33" s="1"/>
  <c r="E59" i="28"/>
  <c r="E59" i="29" s="1"/>
  <c r="E59" i="31" s="1"/>
  <c r="E59" i="32" s="1"/>
  <c r="E59" i="33" s="1"/>
  <c r="D56" i="28"/>
  <c r="D56" i="29" s="1"/>
  <c r="D56" i="31" s="1"/>
  <c r="D56" i="32" s="1"/>
  <c r="D56" i="33" s="1"/>
  <c r="C53" i="28"/>
  <c r="C53" i="29" s="1"/>
  <c r="C53" i="31" s="1"/>
  <c r="C53" i="32" s="1"/>
  <c r="C53" i="33" s="1"/>
  <c r="C47" i="28"/>
  <c r="C47" i="29" s="1"/>
  <c r="C47" i="31" s="1"/>
  <c r="C47" i="32" s="1"/>
  <c r="C47" i="33" s="1"/>
  <c r="H24" i="28"/>
  <c r="H24" i="29" s="1"/>
  <c r="H24" i="31" s="1"/>
  <c r="H24" i="32" s="1"/>
  <c r="H24" i="33" s="1"/>
  <c r="H16" i="28"/>
  <c r="H16" i="29" s="1"/>
  <c r="H16" i="31" s="1"/>
  <c r="H16" i="32" s="1"/>
  <c r="H16" i="33" s="1"/>
  <c r="F64" i="28"/>
  <c r="F64" i="29" s="1"/>
  <c r="F64" i="31" s="1"/>
  <c r="F64" i="32" s="1"/>
  <c r="F64" i="33" s="1"/>
  <c r="D60" i="28"/>
  <c r="D60" i="29" s="1"/>
  <c r="D60" i="31" s="1"/>
  <c r="D60" i="32" s="1"/>
  <c r="D60" i="33" s="1"/>
  <c r="J68" i="28"/>
  <c r="J68" i="29" s="1"/>
  <c r="J68" i="31" s="1"/>
  <c r="J68" i="32" s="1"/>
  <c r="J68" i="33" s="1"/>
  <c r="J64" i="28"/>
  <c r="J64" i="29" s="1"/>
  <c r="J64" i="31" s="1"/>
  <c r="J64" i="32" s="1"/>
  <c r="J64" i="33" s="1"/>
  <c r="J58" i="28"/>
  <c r="J58" i="29" s="1"/>
  <c r="J58" i="31" s="1"/>
  <c r="J58" i="32" s="1"/>
  <c r="J58" i="33" s="1"/>
  <c r="I28" i="28"/>
  <c r="I28" i="29" s="1"/>
  <c r="I28" i="31" s="1"/>
  <c r="I28" i="32" s="1"/>
  <c r="I28" i="33" s="1"/>
  <c r="I69" i="28"/>
  <c r="I69" i="29" s="1"/>
  <c r="I69" i="31" s="1"/>
  <c r="I69" i="32" s="1"/>
  <c r="I69" i="33" s="1"/>
  <c r="I64" i="28"/>
  <c r="I64" i="29" s="1"/>
  <c r="I64" i="31" s="1"/>
  <c r="I64" i="32" s="1"/>
  <c r="I64" i="33" s="1"/>
  <c r="H57" i="28"/>
  <c r="H57" i="29" s="1"/>
  <c r="H57" i="31" s="1"/>
  <c r="H57" i="32" s="1"/>
  <c r="H57" i="33" s="1"/>
  <c r="G52" i="28"/>
  <c r="G52" i="29" s="1"/>
  <c r="G52" i="31" s="1"/>
  <c r="G52" i="32" s="1"/>
  <c r="G52" i="33" s="1"/>
  <c r="E50" i="28"/>
  <c r="E50" i="29" s="1"/>
  <c r="E50" i="31" s="1"/>
  <c r="E50" i="32" s="1"/>
  <c r="E50" i="33" s="1"/>
  <c r="C49" i="28"/>
  <c r="C49" i="29" s="1"/>
  <c r="C49" i="31" s="1"/>
  <c r="C49" i="32" s="1"/>
  <c r="C49" i="33" s="1"/>
  <c r="F45" i="28"/>
  <c r="F45" i="29" s="1"/>
  <c r="F45" i="31" s="1"/>
  <c r="F45" i="32" s="1"/>
  <c r="F45" i="33" s="1"/>
  <c r="E33" i="28"/>
  <c r="E33" i="29" s="1"/>
  <c r="E33" i="31" s="1"/>
  <c r="E33" i="32" s="1"/>
  <c r="E33" i="33" s="1"/>
  <c r="J3" i="28"/>
  <c r="J3" i="29" s="1"/>
  <c r="J3" i="31" s="1"/>
  <c r="J3" i="32" s="1"/>
  <c r="J3" i="33" s="1"/>
  <c r="G70" i="28"/>
  <c r="G70" i="29" s="1"/>
  <c r="G70" i="31" s="1"/>
  <c r="G70" i="32" s="1"/>
  <c r="G70" i="33" s="1"/>
  <c r="G69" i="28"/>
  <c r="G69" i="29" s="1"/>
  <c r="G69" i="31" s="1"/>
  <c r="G69" i="32" s="1"/>
  <c r="G69" i="33" s="1"/>
  <c r="G68" i="28"/>
  <c r="G68" i="29" s="1"/>
  <c r="G68" i="31" s="1"/>
  <c r="G68" i="32" s="1"/>
  <c r="G68" i="33" s="1"/>
  <c r="G67" i="28"/>
  <c r="G67" i="29" s="1"/>
  <c r="G67" i="31" s="1"/>
  <c r="G67" i="32" s="1"/>
  <c r="G67" i="33" s="1"/>
  <c r="G66" i="28"/>
  <c r="G66" i="29" s="1"/>
  <c r="G66" i="31" s="1"/>
  <c r="G66" i="32" s="1"/>
  <c r="G66" i="33" s="1"/>
  <c r="G65" i="28"/>
  <c r="G65" i="29" s="1"/>
  <c r="G65" i="31" s="1"/>
  <c r="G65" i="32" s="1"/>
  <c r="G65" i="33" s="1"/>
  <c r="G64" i="28"/>
  <c r="G64" i="29" s="1"/>
  <c r="G64" i="31" s="1"/>
  <c r="G64" i="32" s="1"/>
  <c r="G64" i="33" s="1"/>
  <c r="G63" i="28"/>
  <c r="G63" i="29" s="1"/>
  <c r="G63" i="31" s="1"/>
  <c r="G63" i="32" s="1"/>
  <c r="G63" i="33" s="1"/>
  <c r="G62" i="28"/>
  <c r="G62" i="29" s="1"/>
  <c r="G62" i="31" s="1"/>
  <c r="G62" i="32" s="1"/>
  <c r="G62" i="33" s="1"/>
  <c r="G61" i="28"/>
  <c r="G61" i="29" s="1"/>
  <c r="G61" i="31" s="1"/>
  <c r="G61" i="32" s="1"/>
  <c r="G61" i="33" s="1"/>
  <c r="G60" i="28"/>
  <c r="G60" i="29" s="1"/>
  <c r="G60" i="31" s="1"/>
  <c r="G60" i="32" s="1"/>
  <c r="G60" i="33" s="1"/>
  <c r="G59" i="28"/>
  <c r="G59" i="29" s="1"/>
  <c r="G59" i="31" s="1"/>
  <c r="G59" i="32" s="1"/>
  <c r="G59" i="33" s="1"/>
  <c r="G58" i="28"/>
  <c r="G58" i="29" s="1"/>
  <c r="G58" i="31" s="1"/>
  <c r="G58" i="32" s="1"/>
  <c r="G58" i="33" s="1"/>
  <c r="F57" i="28"/>
  <c r="F57" i="29" s="1"/>
  <c r="F57" i="31" s="1"/>
  <c r="F57" i="32" s="1"/>
  <c r="F57" i="33" s="1"/>
  <c r="F56" i="28"/>
  <c r="F56" i="29" s="1"/>
  <c r="F56" i="31" s="1"/>
  <c r="F56" i="32" s="1"/>
  <c r="F56" i="33" s="1"/>
  <c r="J43" i="28"/>
  <c r="J43" i="29" s="1"/>
  <c r="J43" i="31" s="1"/>
  <c r="J43" i="32" s="1"/>
  <c r="J43" i="33" s="1"/>
  <c r="G42" i="28"/>
  <c r="G42" i="29" s="1"/>
  <c r="G42" i="31" s="1"/>
  <c r="G42" i="32" s="1"/>
  <c r="G42" i="33" s="1"/>
  <c r="E41" i="28"/>
  <c r="E41" i="29" s="1"/>
  <c r="E41" i="31" s="1"/>
  <c r="E41" i="32" s="1"/>
  <c r="E41" i="33" s="1"/>
  <c r="C40" i="28"/>
  <c r="C40" i="29" s="1"/>
  <c r="C40" i="31" s="1"/>
  <c r="C40" i="32" s="1"/>
  <c r="C40" i="33" s="1"/>
  <c r="J38" i="28"/>
  <c r="J38" i="29" s="1"/>
  <c r="J38" i="31" s="1"/>
  <c r="J38" i="32" s="1"/>
  <c r="J38" i="33" s="1"/>
  <c r="H37" i="28"/>
  <c r="H37" i="29" s="1"/>
  <c r="H37" i="31" s="1"/>
  <c r="H37" i="32" s="1"/>
  <c r="H37" i="33" s="1"/>
  <c r="G36" i="28"/>
  <c r="G36" i="29" s="1"/>
  <c r="G36" i="31" s="1"/>
  <c r="G36" i="32" s="1"/>
  <c r="G36" i="33" s="1"/>
  <c r="F35" i="28"/>
  <c r="F35" i="29" s="1"/>
  <c r="F35" i="31" s="1"/>
  <c r="F35" i="32" s="1"/>
  <c r="F35" i="33" s="1"/>
  <c r="C34" i="28"/>
  <c r="C34" i="29" s="1"/>
  <c r="C34" i="31" s="1"/>
  <c r="C34" i="32" s="1"/>
  <c r="C34" i="33" s="1"/>
  <c r="J32" i="28"/>
  <c r="J32" i="29" s="1"/>
  <c r="J32" i="31" s="1"/>
  <c r="J32" i="32" s="1"/>
  <c r="J32" i="33" s="1"/>
  <c r="I31" i="28"/>
  <c r="I31" i="29" s="1"/>
  <c r="I31" i="31" s="1"/>
  <c r="I31" i="32" s="1"/>
  <c r="I31" i="33" s="1"/>
  <c r="H30" i="28"/>
  <c r="H30" i="29" s="1"/>
  <c r="H30" i="31" s="1"/>
  <c r="H30" i="32" s="1"/>
  <c r="H30" i="33" s="1"/>
  <c r="F28" i="28"/>
  <c r="F28" i="29" s="1"/>
  <c r="F28" i="31" s="1"/>
  <c r="F28" i="32" s="1"/>
  <c r="F28" i="33" s="1"/>
  <c r="E27" i="28"/>
  <c r="E27" i="29" s="1"/>
  <c r="E27" i="31" s="1"/>
  <c r="E27" i="32" s="1"/>
  <c r="E27" i="33" s="1"/>
  <c r="C26" i="28"/>
  <c r="C26" i="29" s="1"/>
  <c r="C26" i="31" s="1"/>
  <c r="C26" i="32" s="1"/>
  <c r="C26" i="33" s="1"/>
  <c r="H6" i="28"/>
  <c r="H6" i="29" s="1"/>
  <c r="H6" i="31" s="1"/>
  <c r="H6" i="32" s="1"/>
  <c r="H6" i="33" s="1"/>
  <c r="H5" i="28"/>
  <c r="H5" i="29" s="1"/>
  <c r="H5" i="31" s="1"/>
  <c r="H5" i="32" s="1"/>
  <c r="H5" i="33" s="1"/>
  <c r="E69" i="28"/>
  <c r="E69" i="29" s="1"/>
  <c r="E69" i="31" s="1"/>
  <c r="E69" i="32" s="1"/>
  <c r="E69" i="33" s="1"/>
  <c r="E65" i="28"/>
  <c r="E65" i="29" s="1"/>
  <c r="E65" i="31" s="1"/>
  <c r="E65" i="32" s="1"/>
  <c r="E65" i="33" s="1"/>
  <c r="E62" i="28"/>
  <c r="E62" i="29" s="1"/>
  <c r="E62" i="31" s="1"/>
  <c r="E62" i="32" s="1"/>
  <c r="E62" i="33" s="1"/>
  <c r="E58" i="28"/>
  <c r="E58" i="29" s="1"/>
  <c r="E58" i="31" s="1"/>
  <c r="E58" i="32" s="1"/>
  <c r="E58" i="33" s="1"/>
  <c r="C55" i="28"/>
  <c r="C55" i="29" s="1"/>
  <c r="C55" i="31" s="1"/>
  <c r="C55" i="32" s="1"/>
  <c r="C55" i="33" s="1"/>
  <c r="C52" i="28"/>
  <c r="C52" i="29" s="1"/>
  <c r="C52" i="31" s="1"/>
  <c r="C52" i="32" s="1"/>
  <c r="C52" i="33" s="1"/>
  <c r="C46" i="28"/>
  <c r="C46" i="29" s="1"/>
  <c r="C46" i="31" s="1"/>
  <c r="C46" i="32" s="1"/>
  <c r="C46" i="33" s="1"/>
  <c r="E29" i="28"/>
  <c r="E29" i="29" s="1"/>
  <c r="E29" i="31" s="1"/>
  <c r="E29" i="32" s="1"/>
  <c r="E29" i="33" s="1"/>
  <c r="J26" i="28"/>
  <c r="J26" i="29" s="1"/>
  <c r="J26" i="31" s="1"/>
  <c r="J26" i="32" s="1"/>
  <c r="J26" i="33" s="1"/>
  <c r="H20" i="28"/>
  <c r="H20" i="29" s="1"/>
  <c r="H20" i="31" s="1"/>
  <c r="H20" i="32" s="1"/>
  <c r="H20" i="33" s="1"/>
  <c r="F6" i="28"/>
  <c r="F6" i="29" s="1"/>
  <c r="F6" i="31" s="1"/>
  <c r="F6" i="32" s="1"/>
  <c r="F6" i="33" s="1"/>
  <c r="F68" i="28"/>
  <c r="F68" i="29" s="1"/>
  <c r="F68" i="31" s="1"/>
  <c r="F68" i="32" s="1"/>
  <c r="F68" i="33" s="1"/>
  <c r="D59" i="28"/>
  <c r="D59" i="29" s="1"/>
  <c r="D59" i="31" s="1"/>
  <c r="D59" i="32" s="1"/>
  <c r="D59" i="33" s="1"/>
  <c r="J70" i="28"/>
  <c r="J70" i="29" s="1"/>
  <c r="J70" i="31" s="1"/>
  <c r="J70" i="32" s="1"/>
  <c r="J70" i="33" s="1"/>
  <c r="J65" i="28"/>
  <c r="J65" i="29" s="1"/>
  <c r="J65" i="31" s="1"/>
  <c r="J65" i="32" s="1"/>
  <c r="J65" i="33" s="1"/>
  <c r="J61" i="28"/>
  <c r="J61" i="29" s="1"/>
  <c r="J61" i="31" s="1"/>
  <c r="J61" i="32" s="1"/>
  <c r="J61" i="33" s="1"/>
  <c r="J57" i="28"/>
  <c r="J57" i="29" s="1"/>
  <c r="J57" i="31" s="1"/>
  <c r="J57" i="32" s="1"/>
  <c r="J57" i="33" s="1"/>
  <c r="H54" i="28"/>
  <c r="H54" i="29" s="1"/>
  <c r="H54" i="31" s="1"/>
  <c r="H54" i="32" s="1"/>
  <c r="H54" i="33" s="1"/>
  <c r="H52" i="28"/>
  <c r="H52" i="29" s="1"/>
  <c r="H52" i="31" s="1"/>
  <c r="H52" i="32" s="1"/>
  <c r="H52" i="33" s="1"/>
  <c r="F50" i="28"/>
  <c r="F50" i="29" s="1"/>
  <c r="F50" i="31" s="1"/>
  <c r="F50" i="32" s="1"/>
  <c r="F50" i="33" s="1"/>
  <c r="H46" i="28"/>
  <c r="H46" i="29" s="1"/>
  <c r="H46" i="31" s="1"/>
  <c r="H46" i="32" s="1"/>
  <c r="H46" i="33" s="1"/>
  <c r="F44" i="28"/>
  <c r="F44" i="29" s="1"/>
  <c r="F44" i="31" s="1"/>
  <c r="F44" i="32" s="1"/>
  <c r="F44" i="33" s="1"/>
  <c r="H41" i="28"/>
  <c r="H41" i="29" s="1"/>
  <c r="H41" i="31" s="1"/>
  <c r="H41" i="32" s="1"/>
  <c r="H41" i="33" s="1"/>
  <c r="J36" i="28"/>
  <c r="J36" i="29" s="1"/>
  <c r="J36" i="31" s="1"/>
  <c r="J36" i="32" s="1"/>
  <c r="J36" i="33" s="1"/>
  <c r="D55" i="28"/>
  <c r="D55" i="29" s="1"/>
  <c r="D55" i="31" s="1"/>
  <c r="D55" i="32" s="1"/>
  <c r="D55" i="33" s="1"/>
  <c r="D54" i="28"/>
  <c r="D54" i="29" s="1"/>
  <c r="D54" i="31" s="1"/>
  <c r="D54" i="32" s="1"/>
  <c r="D54" i="33" s="1"/>
  <c r="D53" i="28"/>
  <c r="D53" i="29" s="1"/>
  <c r="D53" i="31" s="1"/>
  <c r="D53" i="32" s="1"/>
  <c r="D53" i="33" s="1"/>
  <c r="D52" i="28"/>
  <c r="D52" i="29" s="1"/>
  <c r="D52" i="31" s="1"/>
  <c r="D52" i="32" s="1"/>
  <c r="D52" i="33" s="1"/>
  <c r="C51" i="28"/>
  <c r="C51" i="29" s="1"/>
  <c r="C51" i="31" s="1"/>
  <c r="C51" i="32" s="1"/>
  <c r="C51" i="33" s="1"/>
  <c r="H49" i="28"/>
  <c r="H49" i="29" s="1"/>
  <c r="H49" i="31" s="1"/>
  <c r="H49" i="32" s="1"/>
  <c r="H49" i="33" s="1"/>
  <c r="F48" i="28"/>
  <c r="F48" i="29" s="1"/>
  <c r="F48" i="31" s="1"/>
  <c r="F48" i="32" s="1"/>
  <c r="F48" i="33" s="1"/>
  <c r="D47" i="28"/>
  <c r="D47" i="29" s="1"/>
  <c r="D47" i="31" s="1"/>
  <c r="D47" i="32" s="1"/>
  <c r="D47" i="33" s="1"/>
  <c r="D46" i="28"/>
  <c r="D46" i="29" s="1"/>
  <c r="D46" i="31" s="1"/>
  <c r="D46" i="32" s="1"/>
  <c r="D46" i="33" s="1"/>
  <c r="C45" i="28"/>
  <c r="C45" i="29" s="1"/>
  <c r="C45" i="31" s="1"/>
  <c r="C45" i="32" s="1"/>
  <c r="C45" i="33" s="1"/>
  <c r="H43" i="28"/>
  <c r="H43" i="29" s="1"/>
  <c r="H43" i="31" s="1"/>
  <c r="H43" i="32" s="1"/>
  <c r="H43" i="33" s="1"/>
  <c r="F42" i="28"/>
  <c r="F42" i="29" s="1"/>
  <c r="F42" i="31" s="1"/>
  <c r="F42" i="32" s="1"/>
  <c r="F42" i="33" s="1"/>
  <c r="C41" i="28"/>
  <c r="C41" i="29" s="1"/>
  <c r="C41" i="31" s="1"/>
  <c r="C41" i="32" s="1"/>
  <c r="C41" i="33" s="1"/>
  <c r="J39" i="28"/>
  <c r="J39" i="29" s="1"/>
  <c r="J39" i="31" s="1"/>
  <c r="J39" i="32" s="1"/>
  <c r="J39" i="33" s="1"/>
  <c r="H38" i="28"/>
  <c r="H38" i="29" s="1"/>
  <c r="H38" i="31" s="1"/>
  <c r="H38" i="32" s="1"/>
  <c r="H38" i="33" s="1"/>
  <c r="G37" i="28"/>
  <c r="G37" i="29" s="1"/>
  <c r="G37" i="31" s="1"/>
  <c r="G37" i="32" s="1"/>
  <c r="G37" i="33" s="1"/>
  <c r="F36" i="28"/>
  <c r="F36" i="29" s="1"/>
  <c r="F36" i="31" s="1"/>
  <c r="F36" i="32" s="1"/>
  <c r="F36" i="33" s="1"/>
  <c r="E35" i="28"/>
  <c r="E35" i="29" s="1"/>
  <c r="E35" i="31" s="1"/>
  <c r="E35" i="32" s="1"/>
  <c r="E35" i="33" s="1"/>
  <c r="J33" i="28"/>
  <c r="J33" i="29" s="1"/>
  <c r="J33" i="31" s="1"/>
  <c r="J33" i="32" s="1"/>
  <c r="J33" i="33" s="1"/>
  <c r="I32" i="28"/>
  <c r="I32" i="29" s="1"/>
  <c r="I32" i="31" s="1"/>
  <c r="I32" i="32" s="1"/>
  <c r="I32" i="33" s="1"/>
  <c r="H31" i="28"/>
  <c r="H31" i="29" s="1"/>
  <c r="H31" i="31" s="1"/>
  <c r="H31" i="32" s="1"/>
  <c r="H31" i="33" s="1"/>
  <c r="G30" i="28"/>
  <c r="G30" i="29" s="1"/>
  <c r="G30" i="31" s="1"/>
  <c r="G30" i="32" s="1"/>
  <c r="G30" i="33" s="1"/>
  <c r="F29" i="28"/>
  <c r="F29" i="29" s="1"/>
  <c r="F29" i="31" s="1"/>
  <c r="F29" i="32" s="1"/>
  <c r="F29" i="33" s="1"/>
  <c r="E28" i="28"/>
  <c r="E28" i="29" s="1"/>
  <c r="E28" i="31" s="1"/>
  <c r="E28" i="32" s="1"/>
  <c r="E28" i="33" s="1"/>
  <c r="C27" i="28"/>
  <c r="C27" i="29" s="1"/>
  <c r="C27" i="31" s="1"/>
  <c r="C27" i="32" s="1"/>
  <c r="C27" i="33" s="1"/>
  <c r="J25" i="28"/>
  <c r="J25" i="29" s="1"/>
  <c r="J25" i="31" s="1"/>
  <c r="J25" i="32" s="1"/>
  <c r="J25" i="33" s="1"/>
  <c r="I24" i="28"/>
  <c r="I24" i="29" s="1"/>
  <c r="I24" i="31" s="1"/>
  <c r="I24" i="32" s="1"/>
  <c r="I24" i="33" s="1"/>
  <c r="I22" i="28"/>
  <c r="I22" i="29" s="1"/>
  <c r="I22" i="31" s="1"/>
  <c r="I22" i="32" s="1"/>
  <c r="I22" i="33" s="1"/>
  <c r="I20" i="28"/>
  <c r="I20" i="29" s="1"/>
  <c r="I20" i="31" s="1"/>
  <c r="I20" i="32" s="1"/>
  <c r="I20" i="33" s="1"/>
  <c r="I18" i="28"/>
  <c r="I18" i="29" s="1"/>
  <c r="I18" i="31" s="1"/>
  <c r="I18" i="32" s="1"/>
  <c r="I18" i="33" s="1"/>
  <c r="I16" i="28"/>
  <c r="I16" i="29" s="1"/>
  <c r="I16" i="31" s="1"/>
  <c r="I16" i="32" s="1"/>
  <c r="I16" i="33" s="1"/>
  <c r="I14" i="28"/>
  <c r="I14" i="29" s="1"/>
  <c r="I14" i="31" s="1"/>
  <c r="I14" i="32" s="1"/>
  <c r="I14" i="33" s="1"/>
  <c r="I12" i="26"/>
  <c r="I12" i="42" s="1"/>
  <c r="D29" i="25"/>
  <c r="H8" i="28"/>
  <c r="H8" i="29" s="1"/>
  <c r="H8" i="31" s="1"/>
  <c r="H8" i="32" s="1"/>
  <c r="H8" i="33" s="1"/>
  <c r="G6" i="28"/>
  <c r="G6" i="29" s="1"/>
  <c r="G6" i="31" s="1"/>
  <c r="G6" i="32" s="1"/>
  <c r="G6" i="33" s="1"/>
  <c r="G5" i="28"/>
  <c r="G5" i="29" s="1"/>
  <c r="G5" i="31" s="1"/>
  <c r="G5" i="32" s="1"/>
  <c r="G5" i="33" s="1"/>
  <c r="E4" i="28"/>
  <c r="E4" i="29" s="1"/>
  <c r="E4" i="31" s="1"/>
  <c r="E4" i="32" s="1"/>
  <c r="E4" i="33" s="1"/>
  <c r="E53" i="28"/>
  <c r="E53" i="29" s="1"/>
  <c r="E53" i="31" s="1"/>
  <c r="E53" i="32" s="1"/>
  <c r="E53" i="33" s="1"/>
  <c r="G48" i="28"/>
  <c r="G48" i="29" s="1"/>
  <c r="G48" i="31" s="1"/>
  <c r="G48" i="32" s="1"/>
  <c r="G48" i="33" s="1"/>
  <c r="C44" i="28"/>
  <c r="C44" i="29" s="1"/>
  <c r="C44" i="31" s="1"/>
  <c r="C44" i="32" s="1"/>
  <c r="C44" i="33" s="1"/>
  <c r="C39" i="28"/>
  <c r="C39" i="29" s="1"/>
  <c r="C39" i="31" s="1"/>
  <c r="C39" i="32" s="1"/>
  <c r="C39" i="33" s="1"/>
  <c r="E34" i="28"/>
  <c r="E34" i="29" s="1"/>
  <c r="E34" i="31" s="1"/>
  <c r="E34" i="32" s="1"/>
  <c r="E34" i="33" s="1"/>
  <c r="J15" i="28"/>
  <c r="J15" i="29" s="1"/>
  <c r="J15" i="31" s="1"/>
  <c r="J15" i="32" s="1"/>
  <c r="J15" i="33" s="1"/>
  <c r="J56" i="28"/>
  <c r="J56" i="29" s="1"/>
  <c r="J56" i="31" s="1"/>
  <c r="J56" i="32" s="1"/>
  <c r="J56" i="33" s="1"/>
  <c r="G23" i="28"/>
  <c r="G23" i="29" s="1"/>
  <c r="G23" i="31" s="1"/>
  <c r="G23" i="32" s="1"/>
  <c r="G23" i="33" s="1"/>
  <c r="G21" i="28"/>
  <c r="G21" i="29" s="1"/>
  <c r="G21" i="31" s="1"/>
  <c r="G21" i="32" s="1"/>
  <c r="G21" i="33" s="1"/>
  <c r="G19" i="28"/>
  <c r="G19" i="29" s="1"/>
  <c r="G19" i="31" s="1"/>
  <c r="G19" i="32" s="1"/>
  <c r="G19" i="33" s="1"/>
  <c r="G15" i="28"/>
  <c r="G15" i="29" s="1"/>
  <c r="G15" i="31" s="1"/>
  <c r="G15" i="32" s="1"/>
  <c r="G15" i="33" s="1"/>
  <c r="G13" i="28"/>
  <c r="G13" i="29" s="1"/>
  <c r="G13" i="31" s="1"/>
  <c r="G13" i="32" s="1"/>
  <c r="G13" i="33" s="1"/>
  <c r="G11" i="28"/>
  <c r="G11" i="29" s="1"/>
  <c r="G11" i="31" s="1"/>
  <c r="G11" i="32" s="1"/>
  <c r="G11" i="33" s="1"/>
  <c r="G9" i="28"/>
  <c r="G9" i="29" s="1"/>
  <c r="G9" i="31" s="1"/>
  <c r="G9" i="32" s="1"/>
  <c r="G9" i="33" s="1"/>
  <c r="J6" i="28"/>
  <c r="J6" i="29" s="1"/>
  <c r="J6" i="31" s="1"/>
  <c r="J6" i="32" s="1"/>
  <c r="J6" i="33" s="1"/>
  <c r="D39" i="26"/>
  <c r="D39" i="42" s="1"/>
  <c r="G35" i="28"/>
  <c r="G35" i="29" s="1"/>
  <c r="G35" i="31" s="1"/>
  <c r="G35" i="32" s="1"/>
  <c r="G35" i="33" s="1"/>
  <c r="I21" i="28"/>
  <c r="I21" i="29" s="1"/>
  <c r="I21" i="31" s="1"/>
  <c r="I21" i="32" s="1"/>
  <c r="I21" i="33" s="1"/>
  <c r="H14" i="28"/>
  <c r="H14" i="29" s="1"/>
  <c r="H14" i="31" s="1"/>
  <c r="H14" i="32" s="1"/>
  <c r="H14" i="33" s="1"/>
  <c r="G8" i="28"/>
  <c r="G8" i="29" s="1"/>
  <c r="G8" i="31" s="1"/>
  <c r="G8" i="32" s="1"/>
  <c r="G8" i="33" s="1"/>
  <c r="H36" i="28"/>
  <c r="H36" i="29" s="1"/>
  <c r="H36" i="31" s="1"/>
  <c r="H36" i="32" s="1"/>
  <c r="H36" i="33" s="1"/>
  <c r="C33" i="28"/>
  <c r="C33" i="29" s="1"/>
  <c r="C33" i="31" s="1"/>
  <c r="C33" i="32" s="1"/>
  <c r="C33" i="33" s="1"/>
  <c r="I30" i="28"/>
  <c r="I30" i="29" s="1"/>
  <c r="I30" i="31" s="1"/>
  <c r="I30" i="32" s="1"/>
  <c r="I30" i="33" s="1"/>
  <c r="G29" i="28"/>
  <c r="G29" i="29" s="1"/>
  <c r="G29" i="31" s="1"/>
  <c r="G29" i="32" s="1"/>
  <c r="G29" i="33" s="1"/>
  <c r="G22" i="28"/>
  <c r="G22" i="29" s="1"/>
  <c r="G22" i="31" s="1"/>
  <c r="G22" i="32" s="1"/>
  <c r="G22" i="33" s="1"/>
  <c r="J24" i="28"/>
  <c r="J24" i="29" s="1"/>
  <c r="J24" i="31" s="1"/>
  <c r="J24" i="32" s="1"/>
  <c r="J24" i="33" s="1"/>
  <c r="J22" i="28"/>
  <c r="J22" i="29" s="1"/>
  <c r="J22" i="31" s="1"/>
  <c r="J22" i="32" s="1"/>
  <c r="J22" i="33" s="1"/>
  <c r="J16" i="28"/>
  <c r="J16" i="29" s="1"/>
  <c r="J16" i="31" s="1"/>
  <c r="J16" i="32" s="1"/>
  <c r="J16" i="33" s="1"/>
  <c r="J14" i="28"/>
  <c r="J14" i="29" s="1"/>
  <c r="J14" i="31" s="1"/>
  <c r="J14" i="32" s="1"/>
  <c r="J14" i="33" s="1"/>
  <c r="J12" i="28"/>
  <c r="J12" i="29" s="1"/>
  <c r="J12" i="31" s="1"/>
  <c r="J12" i="32" s="1"/>
  <c r="J12" i="33" s="1"/>
  <c r="J10" i="28"/>
  <c r="J10" i="29" s="1"/>
  <c r="J10" i="31" s="1"/>
  <c r="J10" i="32" s="1"/>
  <c r="J10" i="33" s="1"/>
  <c r="J8" i="28"/>
  <c r="J8" i="29" s="1"/>
  <c r="J8" i="31" s="1"/>
  <c r="J8" i="32" s="1"/>
  <c r="J8" i="33" s="1"/>
  <c r="I50" i="26"/>
  <c r="I50" i="42" s="1"/>
  <c r="D43" i="26"/>
  <c r="D43" i="42" s="1"/>
  <c r="G26" i="28"/>
  <c r="G26" i="29" s="1"/>
  <c r="G26" i="31" s="1"/>
  <c r="G26" i="32" s="1"/>
  <c r="G26" i="33" s="1"/>
  <c r="J20" i="28"/>
  <c r="J20" i="29" s="1"/>
  <c r="J20" i="31" s="1"/>
  <c r="J20" i="32" s="1"/>
  <c r="J20" i="33" s="1"/>
  <c r="I13" i="28"/>
  <c r="I13" i="29" s="1"/>
  <c r="I13" i="31" s="1"/>
  <c r="I13" i="32" s="1"/>
  <c r="I13" i="33" s="1"/>
  <c r="J45" i="28"/>
  <c r="J45" i="29" s="1"/>
  <c r="J45" i="31" s="1"/>
  <c r="J45" i="32" s="1"/>
  <c r="J45" i="33" s="1"/>
  <c r="G43" i="28"/>
  <c r="G43" i="29" s="1"/>
  <c r="G43" i="31" s="1"/>
  <c r="G43" i="32" s="1"/>
  <c r="G43" i="33" s="1"/>
  <c r="E42" i="28"/>
  <c r="E42" i="29" s="1"/>
  <c r="E42" i="31" s="1"/>
  <c r="E42" i="32" s="1"/>
  <c r="E42" i="33" s="1"/>
  <c r="J40" i="28"/>
  <c r="J40" i="29" s="1"/>
  <c r="J40" i="31" s="1"/>
  <c r="J40" i="32" s="1"/>
  <c r="J40" i="33" s="1"/>
  <c r="G38" i="28"/>
  <c r="G38" i="29" s="1"/>
  <c r="G38" i="31" s="1"/>
  <c r="G38" i="32" s="1"/>
  <c r="G38" i="33" s="1"/>
  <c r="E36" i="28"/>
  <c r="E36" i="29" s="1"/>
  <c r="E36" i="31" s="1"/>
  <c r="E36" i="32" s="1"/>
  <c r="E36" i="33" s="1"/>
  <c r="H32" i="28"/>
  <c r="H32" i="29" s="1"/>
  <c r="H32" i="31" s="1"/>
  <c r="H32" i="32" s="1"/>
  <c r="H32" i="33" s="1"/>
  <c r="F30" i="28"/>
  <c r="F30" i="29" s="1"/>
  <c r="F30" i="31" s="1"/>
  <c r="F30" i="32" s="1"/>
  <c r="F30" i="33" s="1"/>
  <c r="J17" i="28"/>
  <c r="J17" i="29" s="1"/>
  <c r="J17" i="31" s="1"/>
  <c r="J17" i="32" s="1"/>
  <c r="J17" i="33" s="1"/>
  <c r="J55" i="28"/>
  <c r="J55" i="29" s="1"/>
  <c r="J55" i="31" s="1"/>
  <c r="J55" i="32" s="1"/>
  <c r="J55" i="33" s="1"/>
  <c r="H12" i="28"/>
  <c r="H12" i="29" s="1"/>
  <c r="H12" i="31" s="1"/>
  <c r="H12" i="32" s="1"/>
  <c r="H12" i="33" s="1"/>
  <c r="D38" i="26"/>
  <c r="D38" i="42" s="1"/>
  <c r="J31" i="28"/>
  <c r="J31" i="29" s="1"/>
  <c r="J31" i="31" s="1"/>
  <c r="J31" i="32" s="1"/>
  <c r="J31" i="33" s="1"/>
  <c r="J18" i="28"/>
  <c r="J18" i="29" s="1"/>
  <c r="J18" i="31" s="1"/>
  <c r="J18" i="32" s="1"/>
  <c r="J18" i="33" s="1"/>
  <c r="I11" i="28"/>
  <c r="I11" i="29" s="1"/>
  <c r="C70" i="28"/>
  <c r="C70" i="29" s="1"/>
  <c r="C70" i="31" s="1"/>
  <c r="C70" i="32" s="1"/>
  <c r="C70" i="33" s="1"/>
  <c r="C68" i="28"/>
  <c r="C68" i="29" s="1"/>
  <c r="C68" i="31" s="1"/>
  <c r="C68" i="32" s="1"/>
  <c r="C68" i="33" s="1"/>
  <c r="C66" i="28"/>
  <c r="C66" i="29" s="1"/>
  <c r="C66" i="31" s="1"/>
  <c r="C66" i="32" s="1"/>
  <c r="C66" i="33" s="1"/>
  <c r="C64" i="28"/>
  <c r="C64" i="29" s="1"/>
  <c r="C64" i="31" s="1"/>
  <c r="C64" i="32" s="1"/>
  <c r="C64" i="33" s="1"/>
  <c r="C62" i="28"/>
  <c r="C62" i="29" s="1"/>
  <c r="C62" i="31" s="1"/>
  <c r="C62" i="32" s="1"/>
  <c r="C62" i="33" s="1"/>
  <c r="C60" i="28"/>
  <c r="C60" i="29" s="1"/>
  <c r="C60" i="31" s="1"/>
  <c r="C60" i="32" s="1"/>
  <c r="C60" i="33" s="1"/>
  <c r="C58" i="28"/>
  <c r="C58" i="29" s="1"/>
  <c r="C58" i="31" s="1"/>
  <c r="C58" i="32" s="1"/>
  <c r="C58" i="33" s="1"/>
  <c r="H50" i="28"/>
  <c r="H50" i="29" s="1"/>
  <c r="H50" i="31" s="1"/>
  <c r="H50" i="32" s="1"/>
  <c r="H50" i="33" s="1"/>
  <c r="J46" i="28"/>
  <c r="J46" i="29" s="1"/>
  <c r="J46" i="31" s="1"/>
  <c r="J46" i="32" s="1"/>
  <c r="J46" i="33" s="1"/>
  <c r="C35" i="28"/>
  <c r="C35" i="29" s="1"/>
  <c r="C35" i="31" s="1"/>
  <c r="C35" i="32" s="1"/>
  <c r="C35" i="33" s="1"/>
  <c r="J28" i="28"/>
  <c r="J28" i="29" s="1"/>
  <c r="J28" i="31" s="1"/>
  <c r="J28" i="32" s="1"/>
  <c r="J28" i="33" s="1"/>
  <c r="F27" i="28"/>
  <c r="F27" i="29" s="1"/>
  <c r="F27" i="31" s="1"/>
  <c r="F27" i="32" s="1"/>
  <c r="F27" i="33" s="1"/>
  <c r="I25" i="28"/>
  <c r="I25" i="29" s="1"/>
  <c r="I25" i="31" s="1"/>
  <c r="I25" i="32" s="1"/>
  <c r="I25" i="33" s="1"/>
  <c r="I5" i="28"/>
  <c r="I5" i="29" s="1"/>
  <c r="I5" i="31" s="1"/>
  <c r="I5" i="32" s="1"/>
  <c r="I5" i="33" s="1"/>
  <c r="F4" i="28"/>
  <c r="F4" i="29" s="1"/>
  <c r="F4" i="31" s="1"/>
  <c r="F4" i="32" s="1"/>
  <c r="F4" i="33" s="1"/>
  <c r="D48" i="28"/>
  <c r="D48" i="29" s="1"/>
  <c r="D48" i="31" s="1"/>
  <c r="D48" i="32" s="1"/>
  <c r="D48" i="33" s="1"/>
  <c r="I37" i="28"/>
  <c r="I37" i="29" s="1"/>
  <c r="E6" i="28"/>
  <c r="E6" i="29" s="1"/>
  <c r="E6" i="31" s="1"/>
  <c r="E6" i="32" s="1"/>
  <c r="E6" i="33" s="1"/>
  <c r="I39" i="28"/>
  <c r="I39" i="29" s="1"/>
  <c r="I39" i="31" s="1"/>
  <c r="I39" i="32" s="1"/>
  <c r="I39" i="33" s="1"/>
  <c r="G31" i="28"/>
  <c r="G31" i="29" s="1"/>
  <c r="G31" i="31" s="1"/>
  <c r="G31" i="32" s="1"/>
  <c r="G31" i="33" s="1"/>
  <c r="C25" i="28"/>
  <c r="C25" i="29" s="1"/>
  <c r="C25" i="31" s="1"/>
  <c r="C25" i="32" s="1"/>
  <c r="C25" i="33" s="1"/>
  <c r="E5" i="28"/>
  <c r="E5" i="29" s="1"/>
  <c r="E5" i="31" s="1"/>
  <c r="E5" i="32" s="1"/>
  <c r="E5" i="33" s="1"/>
  <c r="I7" i="28"/>
  <c r="I7" i="29" s="1"/>
  <c r="I7" i="31" s="1"/>
  <c r="I7" i="32" s="1"/>
  <c r="I7" i="33" s="1"/>
  <c r="D41" i="25"/>
  <c r="I33" i="28"/>
  <c r="I33" i="29" s="1"/>
  <c r="I33" i="31" s="1"/>
  <c r="I33" i="32" s="1"/>
  <c r="I33" i="33" s="1"/>
  <c r="G24" i="28"/>
  <c r="G24" i="29" s="1"/>
  <c r="G24" i="31" s="1"/>
  <c r="G24" i="32" s="1"/>
  <c r="G24" i="33" s="1"/>
  <c r="G17" i="28"/>
  <c r="G17" i="29" s="1"/>
  <c r="G17" i="31" s="1"/>
  <c r="G17" i="32" s="1"/>
  <c r="G17" i="33" s="1"/>
  <c r="C69" i="28"/>
  <c r="C69" i="29" s="1"/>
  <c r="C69" i="31" s="1"/>
  <c r="C69" i="32" s="1"/>
  <c r="C69" i="33" s="1"/>
  <c r="C67" i="28"/>
  <c r="C67" i="29" s="1"/>
  <c r="C67" i="31" s="1"/>
  <c r="C67" i="32" s="1"/>
  <c r="C67" i="33" s="1"/>
  <c r="C65" i="28"/>
  <c r="C65" i="29" s="1"/>
  <c r="C65" i="31" s="1"/>
  <c r="C65" i="32" s="1"/>
  <c r="C65" i="33" s="1"/>
  <c r="C63" i="28"/>
  <c r="C63" i="29" s="1"/>
  <c r="C63" i="31" s="1"/>
  <c r="C63" i="32" s="1"/>
  <c r="C63" i="33" s="1"/>
  <c r="C61" i="28"/>
  <c r="C61" i="29" s="1"/>
  <c r="C61" i="31" s="1"/>
  <c r="C61" i="32" s="1"/>
  <c r="C61" i="33" s="1"/>
  <c r="C59" i="28"/>
  <c r="C59" i="29" s="1"/>
  <c r="C59" i="31" s="1"/>
  <c r="C59" i="32" s="1"/>
  <c r="C59" i="33" s="1"/>
  <c r="J53" i="28"/>
  <c r="J53" i="29" s="1"/>
  <c r="J53" i="31" s="1"/>
  <c r="J53" i="32" s="1"/>
  <c r="J53" i="33" s="1"/>
  <c r="J52" i="28"/>
  <c r="J52" i="29" s="1"/>
  <c r="J52" i="31" s="1"/>
  <c r="J52" i="32" s="1"/>
  <c r="J52" i="33" s="1"/>
  <c r="F49" i="28"/>
  <c r="F49" i="29" s="1"/>
  <c r="F49" i="31" s="1"/>
  <c r="F49" i="32" s="1"/>
  <c r="F49" i="33" s="1"/>
  <c r="F37" i="28"/>
  <c r="F37" i="29" s="1"/>
  <c r="F37" i="31" s="1"/>
  <c r="F37" i="32" s="1"/>
  <c r="F37" i="33" s="1"/>
  <c r="I19" i="28"/>
  <c r="I19" i="29" s="1"/>
  <c r="I19" i="31" s="1"/>
  <c r="I19" i="32" s="1"/>
  <c r="I19" i="33" s="1"/>
  <c r="I17" i="28"/>
  <c r="I17" i="29" s="1"/>
  <c r="I17" i="31" s="1"/>
  <c r="I17" i="32" s="1"/>
  <c r="I17" i="33" s="1"/>
  <c r="C6" i="28"/>
  <c r="C6" i="29" s="1"/>
  <c r="C6" i="31" s="1"/>
  <c r="C6" i="32" s="1"/>
  <c r="C6" i="33" s="1"/>
  <c r="J4" i="28"/>
  <c r="J4" i="29" s="1"/>
  <c r="J4" i="31" s="1"/>
  <c r="J4" i="32" s="1"/>
  <c r="J4" i="33" s="1"/>
  <c r="J54" i="28"/>
  <c r="J54" i="29" s="1"/>
  <c r="J54" i="31" s="1"/>
  <c r="J54" i="32" s="1"/>
  <c r="J54" i="33" s="1"/>
  <c r="J27" i="28"/>
  <c r="J27" i="29" s="1"/>
  <c r="J27" i="31" s="1"/>
  <c r="J27" i="32" s="1"/>
  <c r="J27" i="33" s="1"/>
  <c r="I23" i="28"/>
  <c r="I23" i="29" s="1"/>
  <c r="I23" i="31" s="1"/>
  <c r="I23" i="32" s="1"/>
  <c r="I23" i="33" s="1"/>
  <c r="I9" i="28"/>
  <c r="I9" i="29" s="1"/>
  <c r="I9" i="31" s="1"/>
  <c r="I9" i="32" s="1"/>
  <c r="I9" i="33" s="1"/>
  <c r="I55" i="30"/>
  <c r="I54" i="30"/>
  <c r="I53" i="30"/>
  <c r="I3" i="30"/>
  <c r="D3" i="30" s="1"/>
  <c r="I41" i="30"/>
  <c r="D27" i="30"/>
  <c r="I68" i="30"/>
  <c r="I67" i="30"/>
  <c r="I64" i="30"/>
  <c r="I59" i="30"/>
  <c r="I15" i="30"/>
  <c r="J76" i="30"/>
  <c r="J62" i="30"/>
  <c r="J46" i="30"/>
  <c r="J3" i="30"/>
  <c r="G77" i="30"/>
  <c r="G76" i="30"/>
  <c r="G75" i="30"/>
  <c r="G72" i="30"/>
  <c r="G67" i="30"/>
  <c r="G60" i="30"/>
  <c r="F26" i="30"/>
  <c r="F4" i="30"/>
  <c r="J43" i="30"/>
  <c r="J7" i="30"/>
  <c r="J4" i="30"/>
  <c r="G24" i="30"/>
  <c r="D25" i="30"/>
  <c r="J53" i="30"/>
  <c r="J45" i="30"/>
  <c r="J40" i="30"/>
  <c r="J63" i="30"/>
  <c r="J64" i="30"/>
  <c r="J77" i="30"/>
  <c r="J72" i="30"/>
  <c r="G40" i="30"/>
  <c r="H3" i="30"/>
  <c r="I6" i="30"/>
  <c r="I4" i="30"/>
  <c r="D4" i="30" s="1"/>
  <c r="I44" i="30"/>
  <c r="I13" i="30"/>
  <c r="C76" i="30"/>
  <c r="C71" i="30"/>
  <c r="C64" i="30"/>
  <c r="C62" i="30"/>
  <c r="C58" i="30"/>
  <c r="I74" i="30"/>
  <c r="C70" i="30"/>
  <c r="C61" i="30"/>
  <c r="C73" i="30"/>
  <c r="C68" i="30"/>
  <c r="C65" i="30"/>
  <c r="C39" i="30"/>
  <c r="H73" i="30"/>
  <c r="C75" i="30"/>
  <c r="C66" i="30"/>
  <c r="C74" i="30"/>
  <c r="E71" i="30"/>
  <c r="C77" i="30"/>
  <c r="C69" i="30"/>
  <c r="C44" i="30"/>
  <c r="C72" i="30"/>
  <c r="I46" i="30"/>
  <c r="H75" i="30"/>
  <c r="C57" i="30"/>
  <c r="C56" i="30"/>
  <c r="C54" i="30"/>
  <c r="C48" i="30"/>
  <c r="C47" i="30"/>
  <c r="C43" i="30"/>
  <c r="C40" i="30"/>
  <c r="C37" i="30"/>
  <c r="C36" i="30"/>
  <c r="C35" i="30"/>
  <c r="C34" i="30"/>
  <c r="C31" i="30"/>
  <c r="C30" i="30"/>
  <c r="C29" i="30"/>
  <c r="C28" i="30"/>
  <c r="G18" i="30"/>
  <c r="J15" i="30"/>
  <c r="H13" i="30"/>
  <c r="G11" i="30"/>
  <c r="J51" i="30"/>
  <c r="J50" i="30"/>
  <c r="J49" i="30"/>
  <c r="J48" i="30"/>
  <c r="J47" i="30"/>
  <c r="J41" i="30"/>
  <c r="J19" i="30"/>
  <c r="H42" i="30"/>
  <c r="I73" i="30"/>
  <c r="I25" i="30"/>
  <c r="I19" i="30"/>
  <c r="H15" i="30"/>
  <c r="H10" i="30"/>
  <c r="H5" i="30"/>
  <c r="J31" i="30"/>
  <c r="G23" i="30"/>
  <c r="G15" i="30"/>
  <c r="J60" i="30"/>
  <c r="I72" i="30"/>
  <c r="I60" i="30"/>
  <c r="I33" i="30"/>
  <c r="H74" i="30"/>
  <c r="H66" i="30"/>
  <c r="H61" i="30"/>
  <c r="H58" i="30"/>
  <c r="H56" i="30"/>
  <c r="H55" i="30"/>
  <c r="H53" i="30"/>
  <c r="H52" i="30"/>
  <c r="H51" i="30"/>
  <c r="H48" i="30"/>
  <c r="H47" i="30"/>
  <c r="H43" i="30"/>
  <c r="H35" i="30"/>
  <c r="H34" i="30"/>
  <c r="H33" i="30"/>
  <c r="H32" i="30"/>
  <c r="H30" i="30"/>
  <c r="H28" i="30"/>
  <c r="H27" i="30"/>
  <c r="H26" i="30"/>
  <c r="H25" i="30"/>
  <c r="H24" i="30"/>
  <c r="G10" i="30"/>
  <c r="E40" i="30"/>
  <c r="J71" i="30"/>
  <c r="I69" i="30"/>
  <c r="I40" i="30"/>
  <c r="H71" i="30"/>
  <c r="H62" i="30"/>
  <c r="G57" i="30"/>
  <c r="G51" i="30"/>
  <c r="G49" i="30"/>
  <c r="G47" i="30"/>
  <c r="G46" i="30"/>
  <c r="G44" i="30"/>
  <c r="G41" i="30"/>
  <c r="G39" i="30"/>
  <c r="G38" i="30"/>
  <c r="G34" i="30"/>
  <c r="G33" i="30"/>
  <c r="G27" i="30"/>
  <c r="G26" i="30"/>
  <c r="H21" i="30"/>
  <c r="J14" i="30"/>
  <c r="G12" i="30"/>
  <c r="F6" i="30"/>
  <c r="F5" i="30"/>
  <c r="C4" i="30"/>
  <c r="H29" i="30"/>
  <c r="G4" i="30"/>
  <c r="J73" i="30"/>
  <c r="J65" i="30"/>
  <c r="I76" i="30"/>
  <c r="I71" i="30"/>
  <c r="I61" i="30"/>
  <c r="I28" i="30"/>
  <c r="H77" i="30"/>
  <c r="H69" i="30"/>
  <c r="G73" i="30"/>
  <c r="G63" i="30"/>
  <c r="F76" i="30"/>
  <c r="F73" i="30"/>
  <c r="F70" i="30"/>
  <c r="F66" i="30"/>
  <c r="F63" i="30"/>
  <c r="F58" i="30"/>
  <c r="F56" i="30"/>
  <c r="F54" i="30"/>
  <c r="F53" i="30"/>
  <c r="F51" i="30"/>
  <c r="F49" i="30"/>
  <c r="F43" i="30"/>
  <c r="F40" i="30"/>
  <c r="F39" i="30"/>
  <c r="F38" i="30"/>
  <c r="F35" i="30"/>
  <c r="F34" i="30"/>
  <c r="F33" i="30"/>
  <c r="F32" i="30"/>
  <c r="F31" i="30"/>
  <c r="F29" i="30"/>
  <c r="F28" i="30"/>
  <c r="F25" i="30"/>
  <c r="J23" i="30"/>
  <c r="H14" i="30"/>
  <c r="J11" i="30"/>
  <c r="E6" i="30"/>
  <c r="E5" i="30"/>
  <c r="G21" i="30"/>
  <c r="G13" i="30"/>
  <c r="I75" i="30"/>
  <c r="H76" i="30"/>
  <c r="H70" i="30"/>
  <c r="G74" i="30"/>
  <c r="G64" i="30"/>
  <c r="G55" i="30"/>
  <c r="F77" i="30"/>
  <c r="F74" i="30"/>
  <c r="F71" i="30"/>
  <c r="F62" i="30"/>
  <c r="F59" i="30"/>
  <c r="E77" i="30"/>
  <c r="E75" i="30"/>
  <c r="E73" i="30"/>
  <c r="E72" i="30"/>
  <c r="E67" i="30"/>
  <c r="E66" i="30"/>
  <c r="E64" i="30"/>
  <c r="E62" i="30"/>
  <c r="E61" i="30"/>
  <c r="E60" i="30"/>
  <c r="E59" i="30"/>
  <c r="E58" i="30"/>
  <c r="E56" i="30"/>
  <c r="E55" i="30"/>
  <c r="E52" i="30"/>
  <c r="E50" i="30"/>
  <c r="E49" i="30"/>
  <c r="E48" i="30"/>
  <c r="E46" i="30"/>
  <c r="E43" i="30"/>
  <c r="E42" i="30"/>
  <c r="E39" i="30"/>
  <c r="E38" i="30"/>
  <c r="E33" i="30"/>
  <c r="E32" i="30"/>
  <c r="E29" i="30"/>
  <c r="H23" i="30"/>
  <c r="H16" i="30"/>
  <c r="G14" i="30"/>
  <c r="D6" i="30"/>
  <c r="C5" i="30"/>
  <c r="F27" i="30"/>
  <c r="H72" i="30"/>
  <c r="H65" i="30"/>
  <c r="G71" i="30"/>
  <c r="G68" i="30"/>
  <c r="G59" i="30"/>
  <c r="G52" i="30"/>
  <c r="F75" i="30"/>
  <c r="F72" i="30"/>
  <c r="F69" i="30"/>
  <c r="F61" i="30"/>
  <c r="E76" i="30"/>
  <c r="E74" i="30"/>
  <c r="D77" i="30"/>
  <c r="D76" i="30"/>
  <c r="D75" i="30"/>
  <c r="D74" i="30"/>
  <c r="D73" i="30"/>
  <c r="D72" i="30"/>
  <c r="D71" i="30"/>
  <c r="D70" i="30"/>
  <c r="D69" i="30"/>
  <c r="D68" i="30"/>
  <c r="D66" i="30"/>
  <c r="D64" i="30"/>
  <c r="D62" i="30"/>
  <c r="D61" i="30"/>
  <c r="D60" i="30"/>
  <c r="D58" i="30"/>
  <c r="D55" i="30"/>
  <c r="D52" i="30"/>
  <c r="D51" i="30"/>
  <c r="D50" i="30"/>
  <c r="D49" i="30"/>
  <c r="D47" i="30"/>
  <c r="D45" i="30"/>
  <c r="G7" i="30"/>
  <c r="C6" i="30"/>
  <c r="E45" i="30"/>
  <c r="G35" i="30"/>
  <c r="G19" i="30"/>
  <c r="F3" i="30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E51" i="30" l="1"/>
  <c r="F48" i="30"/>
  <c r="H38" i="30"/>
  <c r="J42" i="30"/>
  <c r="I51" i="28"/>
  <c r="I51" i="29" s="1"/>
  <c r="G30" i="30"/>
  <c r="C38" i="30"/>
  <c r="F68" i="30"/>
  <c r="F50" i="30"/>
  <c r="F64" i="30"/>
  <c r="E28" i="30"/>
  <c r="G37" i="30"/>
  <c r="G5" i="30"/>
  <c r="F41" i="30"/>
  <c r="C33" i="30"/>
  <c r="C46" i="30"/>
  <c r="I37" i="42"/>
  <c r="D53" i="30"/>
  <c r="H36" i="30"/>
  <c r="F42" i="30"/>
  <c r="H6" i="30"/>
  <c r="J36" i="30"/>
  <c r="D46" i="30"/>
  <c r="D56" i="30"/>
  <c r="J20" i="30"/>
  <c r="F47" i="30"/>
  <c r="F52" i="30"/>
  <c r="G48" i="30"/>
  <c r="G42" i="30"/>
  <c r="H46" i="30"/>
  <c r="J37" i="30"/>
  <c r="G58" i="30"/>
  <c r="G3" i="30"/>
  <c r="E54" i="30"/>
  <c r="H19" i="30"/>
  <c r="H4" i="30"/>
  <c r="C41" i="30"/>
  <c r="D59" i="30"/>
  <c r="E44" i="30"/>
  <c r="G45" i="30"/>
  <c r="G22" i="30"/>
  <c r="J44" i="30"/>
  <c r="C32" i="30"/>
  <c r="H64" i="30"/>
  <c r="J22" i="30"/>
  <c r="I70" i="30"/>
  <c r="G66" i="30"/>
  <c r="G70" i="30"/>
  <c r="H7" i="30"/>
  <c r="E69" i="30"/>
  <c r="I29" i="30"/>
  <c r="H37" i="30"/>
  <c r="I32" i="30"/>
  <c r="I14" i="30"/>
  <c r="J69" i="30"/>
  <c r="I21" i="30"/>
  <c r="I66" i="30"/>
  <c r="H68" i="30"/>
  <c r="J18" i="30"/>
  <c r="C27" i="30"/>
  <c r="I23" i="30"/>
  <c r="G62" i="30"/>
  <c r="H11" i="30"/>
  <c r="H60" i="30"/>
  <c r="G28" i="30"/>
  <c r="H41" i="30"/>
  <c r="C49" i="30"/>
  <c r="C25" i="30"/>
  <c r="J12" i="30"/>
  <c r="G17" i="30"/>
  <c r="J25" i="30"/>
  <c r="E3" i="30"/>
  <c r="D67" i="30"/>
  <c r="E57" i="30"/>
  <c r="E65" i="30"/>
  <c r="I9" i="30"/>
  <c r="F60" i="30"/>
  <c r="H49" i="30"/>
  <c r="H44" i="30"/>
  <c r="C26" i="30"/>
  <c r="C45" i="30"/>
  <c r="C53" i="30"/>
  <c r="I58" i="28"/>
  <c r="I58" i="29" s="1"/>
  <c r="I57" i="26"/>
  <c r="H18" i="30"/>
  <c r="F67" i="30"/>
  <c r="E30" i="30"/>
  <c r="I26" i="30"/>
  <c r="H17" i="30"/>
  <c r="E34" i="30"/>
  <c r="C67" i="30"/>
  <c r="J70" i="30"/>
  <c r="F30" i="30"/>
  <c r="J30" i="30"/>
  <c r="D43" i="28"/>
  <c r="H20" i="30"/>
  <c r="H59" i="30"/>
  <c r="F46" i="30"/>
  <c r="I18" i="30"/>
  <c r="E31" i="30"/>
  <c r="E41" i="30"/>
  <c r="G29" i="30"/>
  <c r="G50" i="30"/>
  <c r="E4" i="30"/>
  <c r="H45" i="30"/>
  <c r="H54" i="30"/>
  <c r="I52" i="30"/>
  <c r="C55" i="30"/>
  <c r="C60" i="30"/>
  <c r="J35" i="30"/>
  <c r="J10" i="30"/>
  <c r="J39" i="30"/>
  <c r="D37" i="26"/>
  <c r="D37" i="42" s="1"/>
  <c r="I50" i="28"/>
  <c r="I50" i="29" s="1"/>
  <c r="E26" i="30"/>
  <c r="G54" i="30"/>
  <c r="I63" i="28"/>
  <c r="I63" i="29" s="1"/>
  <c r="D44" i="26"/>
  <c r="D44" i="42" s="1"/>
  <c r="E35" i="30"/>
  <c r="F44" i="30"/>
  <c r="H39" i="30"/>
  <c r="H22" i="30"/>
  <c r="C50" i="30"/>
  <c r="J9" i="30"/>
  <c r="D54" i="30"/>
  <c r="G69" i="30"/>
  <c r="H67" i="30"/>
  <c r="G43" i="30"/>
  <c r="I37" i="31"/>
  <c r="D43" i="29"/>
  <c r="D39" i="29"/>
  <c r="D25" i="29"/>
  <c r="D25" i="31" s="1"/>
  <c r="D25" i="32" s="1"/>
  <c r="I11" i="31"/>
  <c r="I11" i="32" s="1"/>
  <c r="I11" i="33" s="1"/>
  <c r="D25" i="33" s="1"/>
  <c r="D42" i="26"/>
  <c r="D42" i="42" s="1"/>
  <c r="I36" i="28"/>
  <c r="I36" i="29" s="1"/>
  <c r="D63" i="30"/>
  <c r="I27" i="30"/>
  <c r="E25" i="30"/>
  <c r="E53" i="30"/>
  <c r="F65" i="30"/>
  <c r="J58" i="30"/>
  <c r="D48" i="30"/>
  <c r="F57" i="30"/>
  <c r="I65" i="30"/>
  <c r="H9" i="30"/>
  <c r="E27" i="30"/>
  <c r="E36" i="30"/>
  <c r="E70" i="30"/>
  <c r="H63" i="30"/>
  <c r="J55" i="30"/>
  <c r="F36" i="30"/>
  <c r="F45" i="30"/>
  <c r="F55" i="30"/>
  <c r="G36" i="30"/>
  <c r="G65" i="30"/>
  <c r="I5" i="30"/>
  <c r="H12" i="30"/>
  <c r="H31" i="30"/>
  <c r="H40" i="30"/>
  <c r="H50" i="30"/>
  <c r="H8" i="30"/>
  <c r="J32" i="30"/>
  <c r="C42" i="30"/>
  <c r="C51" i="30"/>
  <c r="C63" i="30"/>
  <c r="J29" i="30"/>
  <c r="J26" i="30"/>
  <c r="J56" i="30"/>
  <c r="J8" i="30"/>
  <c r="I12" i="28"/>
  <c r="I12" i="29" s="1"/>
  <c r="D41" i="28"/>
  <c r="D41" i="30" s="1"/>
  <c r="E68" i="30"/>
  <c r="G8" i="30"/>
  <c r="D38" i="29"/>
  <c r="I51" i="31"/>
  <c r="I35" i="31"/>
  <c r="D41" i="29"/>
  <c r="J16" i="30"/>
  <c r="H57" i="30"/>
  <c r="I31" i="30"/>
  <c r="C59" i="30"/>
  <c r="I17" i="30"/>
  <c r="G61" i="30"/>
  <c r="D57" i="30"/>
  <c r="D65" i="30"/>
  <c r="J66" i="30"/>
  <c r="E37" i="30"/>
  <c r="E47" i="30"/>
  <c r="E63" i="30"/>
  <c r="F37" i="30"/>
  <c r="G53" i="30"/>
  <c r="G25" i="30"/>
  <c r="I30" i="30"/>
  <c r="J6" i="30"/>
  <c r="I39" i="30"/>
  <c r="J57" i="30"/>
  <c r="G20" i="30"/>
  <c r="C52" i="30"/>
  <c r="J67" i="30"/>
  <c r="G31" i="30"/>
  <c r="J34" i="30"/>
  <c r="J52" i="30"/>
  <c r="I24" i="30"/>
  <c r="I56" i="30"/>
  <c r="I20" i="30"/>
  <c r="D38" i="28"/>
  <c r="D38" i="30" s="1"/>
  <c r="D39" i="28"/>
  <c r="D39" i="30" s="1"/>
  <c r="J27" i="30"/>
  <c r="J13" i="30"/>
  <c r="G9" i="30"/>
  <c r="J24" i="30"/>
  <c r="J74" i="30"/>
  <c r="J21" i="30"/>
  <c r="J75" i="30"/>
  <c r="J61" i="30"/>
  <c r="J17" i="30"/>
  <c r="I22" i="30"/>
  <c r="G16" i="30"/>
  <c r="I77" i="30"/>
  <c r="I7" i="30"/>
  <c r="I16" i="30"/>
  <c r="G6" i="30"/>
  <c r="J28" i="30"/>
  <c r="J54" i="30"/>
  <c r="J5" i="30"/>
  <c r="G32" i="30"/>
  <c r="J38" i="30"/>
  <c r="G56" i="30"/>
  <c r="I11" i="30"/>
  <c r="J33" i="30"/>
  <c r="J68" i="30"/>
  <c r="J59" i="30"/>
  <c r="C3" i="30"/>
  <c r="I12" i="30"/>
  <c r="I58" i="30"/>
  <c r="D43" i="30"/>
  <c r="I51" i="30"/>
  <c r="I63" i="30"/>
  <c r="I35" i="30"/>
  <c r="F78" i="35"/>
  <c r="E78" i="35"/>
  <c r="D78" i="35"/>
  <c r="C78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29" i="34"/>
  <c r="D30" i="34"/>
  <c r="D33" i="34"/>
  <c r="D34" i="34"/>
  <c r="I34" i="34"/>
  <c r="I38" i="34"/>
  <c r="I41" i="34"/>
  <c r="I45" i="34"/>
  <c r="I48" i="34"/>
  <c r="I49" i="34"/>
  <c r="D3" i="34"/>
  <c r="I3" i="34"/>
  <c r="I10" i="34"/>
  <c r="I55" i="34"/>
  <c r="D5" i="10"/>
  <c r="D25" i="10"/>
  <c r="C25" i="10"/>
  <c r="I57" i="42" l="1"/>
  <c r="I36" i="31"/>
  <c r="D42" i="29"/>
  <c r="D37" i="28"/>
  <c r="D37" i="30" s="1"/>
  <c r="I57" i="29"/>
  <c r="I58" i="31"/>
  <c r="D42" i="28"/>
  <c r="D42" i="30" s="1"/>
  <c r="D44" i="28"/>
  <c r="D44" i="30" s="1"/>
  <c r="D44" i="29"/>
  <c r="I63" i="31"/>
  <c r="D43" i="31"/>
  <c r="D43" i="32" s="1"/>
  <c r="D39" i="31"/>
  <c r="D39" i="32" s="1"/>
  <c r="I37" i="32"/>
  <c r="I37" i="33" s="1"/>
  <c r="I12" i="31"/>
  <c r="I12" i="32" s="1"/>
  <c r="I12" i="33" s="1"/>
  <c r="D29" i="33" s="1"/>
  <c r="D29" i="29"/>
  <c r="I51" i="32"/>
  <c r="I51" i="33" s="1"/>
  <c r="D38" i="33" s="1"/>
  <c r="D38" i="31"/>
  <c r="D38" i="32" s="1"/>
  <c r="D37" i="29"/>
  <c r="I50" i="31"/>
  <c r="I35" i="32"/>
  <c r="I35" i="33" s="1"/>
  <c r="D41" i="33" s="1"/>
  <c r="D41" i="31"/>
  <c r="D41" i="32" s="1"/>
  <c r="D4" i="34"/>
  <c r="I37" i="30"/>
  <c r="I36" i="30"/>
  <c r="I50" i="30"/>
  <c r="I42" i="34"/>
  <c r="D28" i="34"/>
  <c r="D31" i="34"/>
  <c r="I43" i="34"/>
  <c r="D32" i="34"/>
  <c r="I15" i="34"/>
  <c r="D40" i="34"/>
  <c r="D36" i="34"/>
  <c r="D35" i="34"/>
  <c r="I44" i="34"/>
  <c r="I52" i="34"/>
  <c r="I8" i="34"/>
  <c r="I53" i="34"/>
  <c r="J52" i="34"/>
  <c r="I62" i="34"/>
  <c r="I58" i="34"/>
  <c r="I6" i="34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D43" i="33" l="1"/>
  <c r="D39" i="33"/>
  <c r="I58" i="32"/>
  <c r="I58" i="33" s="1"/>
  <c r="I57" i="31"/>
  <c r="I50" i="32"/>
  <c r="I50" i="33" s="1"/>
  <c r="D37" i="33" s="1"/>
  <c r="D37" i="31"/>
  <c r="D37" i="32" s="1"/>
  <c r="I63" i="32"/>
  <c r="I63" i="33" s="1"/>
  <c r="D44" i="33" s="1"/>
  <c r="D44" i="31"/>
  <c r="D44" i="32" s="1"/>
  <c r="I36" i="32"/>
  <c r="I36" i="33" s="1"/>
  <c r="D42" i="33" s="1"/>
  <c r="D42" i="31"/>
  <c r="D42" i="32" s="1"/>
  <c r="E6" i="34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4"/>
  <c r="D33" i="10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1" i="34" l="1"/>
  <c r="D38" i="34"/>
  <c r="H78" i="35"/>
  <c r="G78" i="35"/>
  <c r="B31" i="34"/>
  <c r="B35" i="34"/>
  <c r="B30" i="34"/>
  <c r="B34" i="34"/>
  <c r="B29" i="34"/>
  <c r="B33" i="34"/>
  <c r="B36" i="34"/>
  <c r="J78" i="24"/>
  <c r="J78" i="35"/>
  <c r="B26" i="34"/>
  <c r="I78" i="35"/>
  <c r="B27" i="34"/>
  <c r="B28" i="34"/>
  <c r="B32" i="34"/>
  <c r="I9" i="34"/>
  <c r="J8" i="34"/>
  <c r="J10" i="34"/>
  <c r="E4" i="34"/>
  <c r="J49" i="34"/>
  <c r="J57" i="34"/>
  <c r="D39" i="34" l="1"/>
  <c r="D43" i="34"/>
  <c r="D37" i="34"/>
  <c r="D42" i="34"/>
  <c r="H59" i="34"/>
  <c r="H58" i="34"/>
  <c r="J71" i="34"/>
  <c r="G75" i="34"/>
  <c r="G50" i="34"/>
  <c r="H49" i="34"/>
  <c r="G66" i="34"/>
  <c r="H42" i="34"/>
  <c r="J44" i="34"/>
  <c r="J38" i="34"/>
  <c r="I75" i="34"/>
  <c r="J73" i="34"/>
  <c r="J69" i="34"/>
  <c r="I72" i="34"/>
  <c r="G59" i="34"/>
  <c r="G71" i="34"/>
  <c r="G48" i="34"/>
  <c r="H33" i="34"/>
  <c r="G76" i="34"/>
  <c r="I74" i="34"/>
  <c r="G55" i="34"/>
  <c r="G73" i="34"/>
  <c r="G56" i="34"/>
  <c r="C26" i="34"/>
  <c r="J40" i="34"/>
  <c r="I33" i="34"/>
  <c r="J3" i="34"/>
  <c r="I66" i="34"/>
  <c r="H71" i="34"/>
  <c r="G37" i="34"/>
  <c r="C31" i="34"/>
  <c r="G69" i="34"/>
  <c r="G77" i="34"/>
  <c r="G53" i="34"/>
  <c r="G38" i="34"/>
  <c r="H70" i="34"/>
  <c r="H66" i="34"/>
  <c r="I31" i="34"/>
  <c r="J70" i="34"/>
  <c r="G67" i="34"/>
  <c r="H75" i="34"/>
  <c r="C30" i="34"/>
  <c r="G68" i="34"/>
  <c r="C34" i="34"/>
  <c r="H72" i="34"/>
  <c r="G3" i="34"/>
  <c r="G35" i="34"/>
  <c r="J72" i="34"/>
  <c r="G36" i="34"/>
  <c r="I71" i="34"/>
  <c r="C3" i="34"/>
  <c r="G46" i="34"/>
  <c r="H74" i="34"/>
  <c r="J74" i="34"/>
  <c r="J35" i="34"/>
  <c r="G60" i="34"/>
  <c r="G33" i="34"/>
  <c r="I73" i="34"/>
  <c r="H76" i="34"/>
  <c r="I70" i="34"/>
  <c r="G43" i="34"/>
  <c r="H55" i="34"/>
  <c r="H39" i="34"/>
  <c r="H34" i="34"/>
  <c r="H60" i="34"/>
  <c r="H38" i="34"/>
  <c r="H63" i="34"/>
  <c r="H48" i="34"/>
  <c r="H44" i="34"/>
  <c r="H62" i="34"/>
  <c r="H53" i="34"/>
  <c r="H41" i="34"/>
  <c r="H78" i="29"/>
  <c r="H78" i="34"/>
  <c r="H78" i="28"/>
  <c r="H78" i="33"/>
  <c r="H78" i="30"/>
  <c r="J78" i="29"/>
  <c r="J78" i="34"/>
  <c r="J78" i="28"/>
  <c r="J78" i="33"/>
  <c r="J78" i="30"/>
  <c r="I78" i="29"/>
  <c r="I78" i="34"/>
  <c r="I78" i="28"/>
  <c r="I78" i="33"/>
  <c r="I78" i="30"/>
  <c r="G78" i="30"/>
  <c r="G78" i="33"/>
  <c r="G78" i="29"/>
  <c r="G78" i="34"/>
  <c r="G78" i="28"/>
  <c r="I51" i="34"/>
  <c r="H7" i="34"/>
  <c r="C45" i="34"/>
  <c r="E65" i="34"/>
  <c r="J68" i="34"/>
  <c r="G8" i="34"/>
  <c r="H11" i="34"/>
  <c r="I59" i="34"/>
  <c r="G20" i="34"/>
  <c r="E46" i="34"/>
  <c r="I65" i="34"/>
  <c r="F49" i="34"/>
  <c r="F33" i="34"/>
  <c r="J66" i="34"/>
  <c r="G31" i="34"/>
  <c r="I35" i="34"/>
  <c r="E57" i="34"/>
  <c r="F60" i="34"/>
  <c r="E74" i="34"/>
  <c r="H12" i="34"/>
  <c r="E29" i="34"/>
  <c r="I63" i="34"/>
  <c r="G70" i="34"/>
  <c r="E54" i="34"/>
  <c r="F74" i="34"/>
  <c r="E58" i="34"/>
  <c r="E71" i="34"/>
  <c r="C75" i="34"/>
  <c r="I30" i="34"/>
  <c r="C66" i="34"/>
  <c r="J64" i="34"/>
  <c r="H20" i="34"/>
  <c r="G27" i="34"/>
  <c r="G10" i="34"/>
  <c r="C60" i="34"/>
  <c r="H22" i="34"/>
  <c r="F53" i="34"/>
  <c r="C6" i="34"/>
  <c r="F57" i="34"/>
  <c r="H57" i="34"/>
  <c r="F69" i="34"/>
  <c r="D53" i="34"/>
  <c r="H32" i="34"/>
  <c r="I5" i="34"/>
  <c r="F43" i="34"/>
  <c r="H19" i="34"/>
  <c r="E63" i="34"/>
  <c r="H8" i="34"/>
  <c r="C62" i="34"/>
  <c r="I64" i="34"/>
  <c r="I17" i="34"/>
  <c r="I56" i="34"/>
  <c r="D52" i="34"/>
  <c r="C57" i="34"/>
  <c r="F42" i="34"/>
  <c r="G12" i="34"/>
  <c r="E31" i="34"/>
  <c r="F4" i="34"/>
  <c r="F48" i="34"/>
  <c r="F25" i="34"/>
  <c r="E76" i="34"/>
  <c r="G23" i="34"/>
  <c r="C71" i="34"/>
  <c r="F50" i="34"/>
  <c r="G28" i="34"/>
  <c r="J62" i="34"/>
  <c r="I22" i="34"/>
  <c r="E55" i="34"/>
  <c r="F40" i="34"/>
  <c r="E32" i="34"/>
  <c r="D55" i="34"/>
  <c r="D73" i="34"/>
  <c r="F63" i="34"/>
  <c r="I23" i="34"/>
  <c r="H30" i="34"/>
  <c r="H16" i="34"/>
  <c r="D68" i="34"/>
  <c r="F26" i="34"/>
  <c r="F52" i="34"/>
  <c r="H46" i="34"/>
  <c r="D71" i="34"/>
  <c r="J54" i="34"/>
  <c r="F34" i="34"/>
  <c r="E43" i="34"/>
  <c r="E52" i="34"/>
  <c r="H40" i="34"/>
  <c r="F72" i="34"/>
  <c r="E56" i="34"/>
  <c r="D62" i="34"/>
  <c r="H45" i="34"/>
  <c r="F44" i="34"/>
  <c r="I67" i="34"/>
  <c r="E67" i="34"/>
  <c r="J65" i="34"/>
  <c r="G25" i="34"/>
  <c r="J61" i="34"/>
  <c r="C53" i="34"/>
  <c r="F54" i="34"/>
  <c r="H21" i="34"/>
  <c r="C59" i="34"/>
  <c r="I12" i="34"/>
  <c r="C48" i="34"/>
  <c r="D46" i="34"/>
  <c r="E28" i="34"/>
  <c r="G4" i="34"/>
  <c r="G26" i="34"/>
  <c r="E40" i="34"/>
  <c r="I39" i="34"/>
  <c r="F71" i="34"/>
  <c r="I7" i="34"/>
  <c r="F36" i="34"/>
  <c r="D57" i="34"/>
  <c r="D72" i="34"/>
  <c r="D66" i="34"/>
  <c r="D54" i="34"/>
  <c r="C68" i="34"/>
  <c r="E26" i="34"/>
  <c r="I18" i="34"/>
  <c r="G9" i="34"/>
  <c r="H15" i="34"/>
  <c r="H10" i="34"/>
  <c r="J48" i="34"/>
  <c r="E53" i="34"/>
  <c r="F31" i="34"/>
  <c r="F65" i="34"/>
  <c r="I27" i="34"/>
  <c r="E68" i="34"/>
  <c r="I29" i="34"/>
  <c r="J56" i="34"/>
  <c r="C74" i="34"/>
  <c r="E50" i="34"/>
  <c r="G29" i="34"/>
  <c r="F55" i="34"/>
  <c r="C70" i="34"/>
  <c r="E64" i="34"/>
  <c r="G21" i="34"/>
  <c r="I20" i="34"/>
  <c r="H4" i="34"/>
  <c r="F56" i="34"/>
  <c r="D47" i="34"/>
  <c r="E75" i="34"/>
  <c r="H17" i="34"/>
  <c r="E69" i="34"/>
  <c r="C58" i="34"/>
  <c r="G15" i="34"/>
  <c r="C65" i="34"/>
  <c r="F6" i="34"/>
  <c r="J58" i="34"/>
  <c r="F38" i="34"/>
  <c r="I14" i="34"/>
  <c r="E48" i="34"/>
  <c r="I32" i="34"/>
  <c r="G14" i="34"/>
  <c r="G17" i="34"/>
  <c r="I16" i="34"/>
  <c r="C77" i="34"/>
  <c r="E38" i="34"/>
  <c r="I11" i="34"/>
  <c r="I60" i="34"/>
  <c r="E51" i="34"/>
  <c r="D75" i="34"/>
  <c r="C54" i="34"/>
  <c r="F27" i="34"/>
  <c r="C50" i="34"/>
  <c r="I4" i="34"/>
  <c r="I61" i="34"/>
  <c r="G19" i="34"/>
  <c r="D48" i="34"/>
  <c r="J60" i="34"/>
  <c r="E41" i="34"/>
  <c r="E49" i="34"/>
  <c r="F39" i="34"/>
  <c r="E45" i="34"/>
  <c r="D64" i="34"/>
  <c r="F46" i="34"/>
  <c r="D56" i="34"/>
  <c r="D67" i="34"/>
  <c r="J67" i="34"/>
  <c r="J50" i="34"/>
  <c r="C55" i="34"/>
  <c r="E35" i="34"/>
  <c r="F68" i="34"/>
  <c r="H26" i="34"/>
  <c r="D74" i="34"/>
  <c r="F59" i="34"/>
  <c r="C46" i="34"/>
  <c r="C49" i="34"/>
  <c r="E27" i="34"/>
  <c r="D45" i="34"/>
  <c r="E73" i="34"/>
  <c r="F37" i="34"/>
  <c r="F62" i="34"/>
  <c r="C76" i="34"/>
  <c r="F32" i="34"/>
  <c r="E42" i="34"/>
  <c r="I13" i="34"/>
  <c r="E70" i="34"/>
  <c r="C67" i="34"/>
  <c r="J75" i="34"/>
  <c r="I25" i="34"/>
  <c r="E59" i="34"/>
  <c r="F47" i="34"/>
  <c r="H25" i="34"/>
  <c r="J55" i="34"/>
  <c r="C72" i="34"/>
  <c r="D49" i="34"/>
  <c r="H24" i="34"/>
  <c r="F58" i="34"/>
  <c r="C56" i="34"/>
  <c r="D65" i="34"/>
  <c r="D59" i="34"/>
  <c r="J59" i="34"/>
  <c r="D69" i="34"/>
  <c r="F76" i="34"/>
  <c r="I69" i="34"/>
  <c r="E34" i="34"/>
  <c r="D50" i="34"/>
  <c r="F70" i="34"/>
  <c r="E62" i="34"/>
  <c r="G30" i="34"/>
  <c r="G62" i="34"/>
  <c r="E72" i="34"/>
  <c r="G11" i="34"/>
  <c r="C63" i="34"/>
  <c r="F41" i="34"/>
  <c r="I37" i="34"/>
  <c r="G18" i="34"/>
  <c r="H23" i="34"/>
  <c r="C69" i="34"/>
  <c r="D6" i="34"/>
  <c r="H61" i="34"/>
  <c r="J43" i="34"/>
  <c r="G22" i="34"/>
  <c r="I26" i="34"/>
  <c r="I21" i="34"/>
  <c r="E60" i="34"/>
  <c r="G32" i="34"/>
  <c r="E77" i="34"/>
  <c r="C47" i="34"/>
  <c r="E25" i="34"/>
  <c r="C73" i="34"/>
  <c r="I54" i="34"/>
  <c r="J63" i="34"/>
  <c r="I24" i="34"/>
  <c r="I40" i="34"/>
  <c r="H5" i="34"/>
  <c r="E37" i="34"/>
  <c r="I28" i="34"/>
  <c r="C64" i="34"/>
  <c r="H18" i="34"/>
  <c r="E30" i="34"/>
  <c r="I36" i="34"/>
  <c r="I19" i="34"/>
  <c r="E66" i="34"/>
  <c r="H6" i="34"/>
  <c r="E61" i="34"/>
  <c r="G6" i="34"/>
  <c r="C61" i="34"/>
  <c r="D61" i="34"/>
  <c r="J33" i="34"/>
  <c r="C51" i="34"/>
  <c r="F73" i="34"/>
  <c r="I46" i="34"/>
  <c r="F67" i="34"/>
  <c r="H28" i="34"/>
  <c r="F28" i="34"/>
  <c r="F5" i="34"/>
  <c r="E39" i="34"/>
  <c r="D58" i="34"/>
  <c r="G24" i="34"/>
  <c r="C33" i="34"/>
  <c r="F29" i="34"/>
  <c r="G58" i="34"/>
  <c r="G16" i="34"/>
  <c r="F66" i="34"/>
  <c r="H27" i="34"/>
  <c r="H31" i="34"/>
  <c r="F45" i="34"/>
  <c r="D76" i="34"/>
  <c r="D60" i="34"/>
  <c r="F75" i="34"/>
  <c r="D77" i="34"/>
  <c r="E47" i="34"/>
  <c r="F77" i="34"/>
  <c r="F61" i="34"/>
  <c r="D63" i="34"/>
  <c r="J45" i="34"/>
  <c r="F51" i="34"/>
  <c r="H29" i="34"/>
  <c r="C52" i="34"/>
  <c r="J51" i="34"/>
  <c r="F64" i="34"/>
  <c r="E36" i="34"/>
  <c r="D70" i="34"/>
  <c r="J53" i="34"/>
  <c r="E44" i="34"/>
  <c r="E33" i="34"/>
  <c r="G13" i="34"/>
  <c r="F35" i="34"/>
  <c r="G7" i="34"/>
  <c r="D51" i="34"/>
  <c r="G5" i="34"/>
  <c r="I50" i="34"/>
  <c r="F30" i="34"/>
  <c r="F3" i="34"/>
  <c r="H50" i="34" l="1"/>
  <c r="J34" i="34"/>
  <c r="G64" i="34"/>
  <c r="H68" i="34"/>
  <c r="G63" i="34"/>
  <c r="J77" i="34"/>
  <c r="H67" i="34"/>
  <c r="G42" i="34"/>
  <c r="J36" i="34"/>
  <c r="G65" i="34"/>
  <c r="J37" i="34"/>
  <c r="H51" i="34"/>
  <c r="G45" i="34"/>
  <c r="H77" i="34"/>
  <c r="G57" i="34"/>
  <c r="C28" i="34"/>
  <c r="J39" i="34"/>
  <c r="G44" i="34"/>
  <c r="C4" i="34"/>
  <c r="G72" i="34"/>
  <c r="H37" i="34"/>
  <c r="G34" i="34"/>
  <c r="H64" i="34"/>
  <c r="H69" i="34"/>
  <c r="I77" i="34"/>
  <c r="J76" i="34"/>
  <c r="H73" i="34"/>
  <c r="J42" i="34"/>
  <c r="J41" i="34"/>
  <c r="G41" i="34"/>
  <c r="G52" i="34"/>
  <c r="I76" i="34"/>
  <c r="C35" i="34"/>
  <c r="G40" i="34"/>
  <c r="G51" i="34"/>
  <c r="G74" i="34"/>
  <c r="G39" i="34"/>
  <c r="C32" i="34"/>
  <c r="I68" i="34"/>
  <c r="G61" i="34"/>
  <c r="H65" i="34"/>
  <c r="J32" i="34"/>
  <c r="G49" i="34"/>
  <c r="G54" i="34"/>
  <c r="J46" i="34"/>
  <c r="H3" i="34"/>
  <c r="J23" i="34"/>
  <c r="J4" i="34"/>
  <c r="J30" i="34"/>
  <c r="J12" i="34"/>
  <c r="J11" i="34"/>
  <c r="J17" i="34"/>
  <c r="J26" i="34"/>
  <c r="J13" i="34"/>
  <c r="J31" i="34"/>
  <c r="J27" i="34"/>
  <c r="J22" i="34"/>
  <c r="J18" i="34"/>
  <c r="J29" i="34"/>
  <c r="J21" i="34"/>
  <c r="J28" i="34"/>
  <c r="J14" i="34"/>
  <c r="J7" i="34"/>
  <c r="J6" i="34"/>
  <c r="J19" i="34"/>
  <c r="J24" i="34"/>
  <c r="J25" i="34"/>
  <c r="J16" i="34"/>
  <c r="J5" i="34"/>
  <c r="J20" i="34"/>
  <c r="J15" i="34"/>
  <c r="H43" i="34"/>
  <c r="C40" i="34"/>
  <c r="C37" i="34"/>
  <c r="C25" i="34"/>
  <c r="C41" i="34"/>
  <c r="C39" i="34"/>
  <c r="C42" i="34"/>
  <c r="C38" i="34"/>
  <c r="C36" i="34"/>
  <c r="H14" i="34"/>
  <c r="D44" i="34"/>
  <c r="C43" i="34"/>
  <c r="C5" i="34"/>
  <c r="C44" i="34"/>
  <c r="D25" i="34"/>
  <c r="H13" i="34"/>
  <c r="G47" i="34" l="1"/>
  <c r="C29" i="34"/>
  <c r="C27" i="34"/>
  <c r="H35" i="34"/>
  <c r="H36" i="34"/>
  <c r="H56" i="34"/>
  <c r="H54" i="34"/>
  <c r="H47" i="34"/>
  <c r="H52" i="34"/>
  <c r="H9" i="34"/>
  <c r="J9" i="34" l="1"/>
</calcChain>
</file>

<file path=xl/sharedStrings.xml><?xml version="1.0" encoding="utf-8"?>
<sst xmlns="http://schemas.openxmlformats.org/spreadsheetml/2006/main" count="597" uniqueCount="248">
  <si>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</si>
  <si>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</si>
  <si>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</si>
  <si>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</si>
  <si>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</si>
  <si>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</si>
  <si>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</si>
  <si>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</si>
  <si>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</si>
  <si>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</si>
  <si>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</si>
  <si>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</si>
  <si>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</si>
  <si>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</si>
  <si>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</si>
  <si>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</si>
  <si>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</si>
  <si>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</si>
  <si>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</si>
  <si>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</si>
  <si>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</si>
  <si>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</si>
  <si>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</si>
  <si>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</si>
  <si>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</si>
  <si>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</si>
  <si>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</si>
  <si>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</si>
  <si>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</si>
  <si>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</si>
  <si>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</si>
  <si>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</si>
  <si>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</si>
  <si>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</si>
  <si>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</si>
  <si>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</si>
  <si>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</si>
  <si>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</si>
  <si>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</si>
  <si>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</si>
  <si>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</si>
  <si>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</si>
  <si>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</si>
  <si>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</si>
  <si>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</si>
  <si>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</si>
  <si>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</si>
  <si>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</si>
  <si>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</si>
  <si>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</si>
  <si>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</si>
  <si>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</si>
  <si>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</si>
  <si>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</si>
  <si>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</si>
  <si>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</si>
  <si>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</si>
  <si>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</si>
  <si>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</si>
  <si>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</si>
  <si>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</si>
  <si>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</si>
  <si>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</si>
  <si>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</si>
  <si>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</si>
  <si>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</si>
  <si>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</si>
  <si>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</si>
  <si>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</si>
  <si>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</si>
  <si>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</si>
  <si>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</si>
  <si>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</si>
  <si>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</si>
  <si>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</si>
  <si>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</si>
  <si>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</si>
  <si>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</si>
  <si>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</si>
  <si>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</si>
  <si>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</si>
  <si>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</si>
  <si>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</si>
  <si>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</si>
  <si>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</si>
  <si>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</si>
  <si>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</si>
  <si>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</si>
  <si>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</si>
  <si>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</si>
  <si>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</si>
  <si>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</si>
  <si>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</si>
  <si>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</si>
  <si>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</si>
  <si>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</si>
  <si>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</si>
  <si>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</si>
  <si>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</si>
  <si>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</si>
  <si>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</si>
  <si>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</si>
  <si>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</si>
  <si>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</si>
  <si>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</si>
  <si>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</si>
  <si>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</si>
  <si>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</si>
  <si>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</si>
  <si>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</si>
  <si>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</si>
  <si>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</si>
  <si>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</si>
  <si>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</si>
  <si>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</si>
  <si>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</si>
  <si>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</si>
  <si>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</si>
  <si>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</si>
  <si>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</si>
  <si>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</si>
  <si>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</si>
  <si>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</si>
  <si>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</si>
  <si>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</si>
  <si>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</si>
  <si>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</si>
  <si>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</si>
  <si>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</si>
  <si>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</si>
  <si>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</si>
  <si>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</si>
  <si>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</si>
  <si>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</si>
  <si>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</si>
  <si>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</si>
  <si>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</si>
  <si>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</si>
  <si>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</si>
  <si>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</si>
  <si>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</si>
  <si>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</si>
  <si>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</si>
  <si>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</si>
  <si>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</si>
  <si>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</si>
  <si>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</si>
  <si>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</si>
  <si>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</si>
  <si>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</si>
  <si>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</si>
  <si>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</si>
  <si>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</si>
  <si>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</si>
  <si>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</si>
  <si>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</si>
  <si>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</si>
  <si>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</si>
  <si>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</si>
  <si>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</si>
  <si>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</si>
  <si>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</si>
  <si>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</si>
  <si>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LoRa_transmit_OK</t>
  </si>
  <si>
    <t>LoRa_TimerRetransmit</t>
  </si>
  <si>
    <t>LoRa_TimerRetransmitCallback</t>
  </si>
  <si>
    <t>LoRa_Retransmit_timeout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</si>
  <si>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</si>
  <si>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</si>
  <si>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</si>
  <si>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</si>
  <si>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</si>
  <si>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</si>
  <si>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</si>
  <si>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</si>
  <si>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</si>
  <si>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</si>
  <si>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</si>
  <si>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</si>
  <si>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</si>
  <si>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</si>
  <si>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</si>
  <si>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</si>
  <si>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</si>
  <si>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</si>
  <si>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</si>
  <si>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</si>
  <si>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</si>
  <si>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</si>
  <si>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</si>
  <si>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</si>
  <si>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</si>
  <si>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</si>
  <si>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</si>
  <si>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</si>
  <si>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</si>
  <si>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</si>
  <si>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</si>
  <si>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</si>
  <si>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</si>
  <si>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</si>
  <si>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</si>
  <si>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</si>
  <si>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</si>
  <si>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</si>
  <si>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</si>
  <si>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</si>
  <si>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</si>
  <si>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</si>
  <si>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</si>
  <si>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</si>
  <si>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</si>
  <si>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</si>
  <si>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</si>
  <si>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</si>
  <si>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s/fail</t>
  </si>
  <si>
    <t>LoRa_TxDone_DATA</t>
  </si>
  <si>
    <t>LoRa_TimerWaitAck_timeout</t>
  </si>
  <si>
    <t>LoRa_RxDone_OK_DATA</t>
  </si>
  <si>
    <t>LoRa_RxDone_Fail_DATA</t>
  </si>
  <si>
    <t>2</t>
  </si>
  <si>
    <t>RADIO_FLAG_RXDATA</t>
  </si>
  <si>
    <t>RADIO_FLAG_RXERROR</t>
  </si>
  <si>
    <t>RADIO_FLAG_TIMEOUT</t>
  </si>
  <si>
    <t>XYF</t>
  </si>
  <si>
    <t>1</t>
  </si>
  <si>
    <t>LoRa_Send_problem</t>
  </si>
  <si>
    <t>INVALID_BUFFER_LENGTH</t>
  </si>
  <si>
    <t>XYFl</t>
  </si>
  <si>
    <t>ERR_BUFFER_LOCKED</t>
  </si>
  <si>
    <t>ERR_RADIO_BUSY</t>
  </si>
  <si>
    <t>ToDo_LoRa_retransmit</t>
  </si>
  <si>
    <t>ToDo_LoRa_retransmit_radio_configured</t>
  </si>
  <si>
    <t>XYFle</t>
  </si>
  <si>
    <t>XYFe</t>
  </si>
  <si>
    <t>RADIO_RX fail</t>
  </si>
  <si>
    <t>XYfl</t>
  </si>
  <si>
    <t>ERR_DATA_SIZE</t>
  </si>
  <si>
    <t>LoRa_HandshakingAckVerify</t>
  </si>
  <si>
    <t>XYfe</t>
  </si>
  <si>
    <t>LoRa_EnterReceive_DATA</t>
  </si>
  <si>
    <t>LoRa_RxDone_DATA</t>
  </si>
  <si>
    <t>LoRa_DataAckVerify</t>
  </si>
  <si>
    <t>ToDo_LoRa_Sent</t>
  </si>
  <si>
    <t>LoRa_PrepareRetransmit</t>
  </si>
  <si>
    <t>LoRa_StopTransmisions</t>
  </si>
  <si>
    <t>RADIO_standby</t>
  </si>
  <si>
    <t>LoRa_Counnter.value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</si>
</sst>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CF9F6F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0200"/>
        <bgColor indexed="64"/>
      </patternFill>
    </fill>
    <fill>
      <patternFill patternType="solid">
        <fgColor rgb="FFCFFF6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7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0" fillId="9" borderId="0" xfId="0" quotePrefix="1" applyFill="1" applyAlignment="1">
      <alignment horizontal="center"/>
    </xf>
    <xf numFmtId="0" fontId="1" fillId="12" borderId="0" xfId="1" applyFill="1" applyBorder="1" applyAlignment="1">
      <alignment horizontal="center"/>
    </xf>
    <xf numFmtId="0" fontId="0" fillId="13" borderId="0" xfId="0" applyFill="1"/>
    <xf numFmtId="0" fontId="0" fillId="14" borderId="0" xfId="0" applyFill="1"/>
    <xf numFmtId="0" fontId="1" fillId="14" borderId="0" xfId="1" applyFill="1" applyBorder="1"/>
    <xf numFmtId="0" fontId="1" fillId="14" borderId="4" xfId="1" applyFill="1" applyBorder="1"/>
    <xf numFmtId="0" fontId="1" fillId="0" borderId="0" xfId="1" applyFill="1"/>
    <xf numFmtId="0" fontId="0" fillId="15" borderId="4" xfId="0" applyFill="1" applyBorder="1"/>
    <xf numFmtId="0" fontId="1" fillId="16" borderId="0" xfId="1" applyFill="1" applyBorder="1"/>
    <xf numFmtId="0" fontId="1" fillId="16" borderId="4" xfId="1" applyFill="1" applyBorder="1"/>
    <xf numFmtId="0" fontId="1" fillId="17" borderId="0" xfId="1" applyFill="1" applyBorder="1" applyAlignment="1">
      <alignment horizontal="center"/>
    </xf>
    <xf numFmtId="0" fontId="1" fillId="16" borderId="0" xfId="1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1C47B65E-7852-4141-9243-6ADA8CC24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6AF9CD15-A7AA-465A-A9B6-E7233F2DE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LoRa_TimerhandshakingCallback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AD27D8B6-192A-4A0A-A6F5-CEC534355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C5AFD1C3-83B3-46FA-849E-62221E144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LoRa_TimerWaitAckCallback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F57B8C5C-6E36-4048-BC7E-C0B659808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D88892B6-3202-4E7E-929D-E2E995A75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LoRa_TimerRetransmitCallback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DA3CE2FC-AE0E-402B-BC0F-94F18C8A2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27955E5-5BAC-4963-9C4B-383B1A7D8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AF624E55-C68E-4F17-9188-0C1E66FEC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3DA8B9D2-9135-476E-95AD-3394456EE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181ECBF4-9254-4707-A579-929619CA1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80DC713F-B209-468B-A735-7AC197132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CE39B92A-4D10-44CF-85F3-B3BA5A6C9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B7AF0EF-9039-46A3-885D-1AB559CEB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B3464C1C-2CCC-4D24-AA88-74016D4DD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26042DBE-6C01-4081-BEC3-1E3F29590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CD9F3F35-3E73-4FEF-B74F-A7C3ABB87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DF23935D-E8E2-454F-9FC2-3DA71BDD2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43</v>
      </c>
      <c r="G2" t="s">
        <v>42</v>
      </c>
    </row>
    <row r="3" spans="2:8" x14ac:dyDescent="0.25">
      <c r="B3" s="5" t="s">
        <v>32</v>
      </c>
      <c r="C3" t="s">
        <v>109</v>
      </c>
      <c r="D3"/>
      <c r="E3"/>
      <c r="G3" t="s">
        <v>44</v>
      </c>
      <c r="H3" t="s">
        <v>55</v>
      </c>
    </row>
    <row r="4" spans="2:8" x14ac:dyDescent="0.25">
      <c r="B4" t="s">
        <v>110</v>
      </c>
      <c r="C4" t="s">
        <v>111</v>
      </c>
      <c r="D4"/>
      <c r="E4"/>
      <c r="G4" t="s">
        <v>44</v>
      </c>
      <c r="H4" t="s">
        <v>169</v>
      </c>
    </row>
    <row r="5" spans="2:8" x14ac:dyDescent="0.25">
      <c r="B5" t="s">
        <v>37</v>
      </c>
      <c r="C5" t="s">
        <v>36</v>
      </c>
      <c r="D5" t="s">
        <v>52</v>
      </c>
      <c r="E5"/>
      <c r="G5" t="s">
        <v>44</v>
      </c>
      <c r="H5" t="s">
        <v>170</v>
      </c>
    </row>
    <row r="6" spans="2:8" x14ac:dyDescent="0.25">
      <c r="B6" t="s">
        <v>114</v>
      </c>
      <c r="C6" t="s">
        <v>193</v>
      </c>
      <c r="D6"/>
      <c r="E6"/>
      <c r="G6" t="s">
        <v>15</v>
      </c>
      <c r="H6" t="s">
        <v>171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172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174</v>
      </c>
    </row>
    <row r="9" spans="2:8" x14ac:dyDescent="0.25">
      <c r="B9" t="s">
        <v>20</v>
      </c>
      <c r="C9" t="s">
        <v>164</v>
      </c>
      <c r="D9"/>
      <c r="E9"/>
      <c r="G9" t="s">
        <v>20</v>
      </c>
      <c r="H9" t="s">
        <v>173</v>
      </c>
    </row>
    <row r="10" spans="2:8" x14ac:dyDescent="0.25">
      <c r="B10" t="s">
        <v>20</v>
      </c>
      <c r="C10" t="s">
        <v>23</v>
      </c>
      <c r="D10"/>
      <c r="E10"/>
      <c r="G10" t="s">
        <v>49</v>
      </c>
      <c r="H10" t="s">
        <v>123</v>
      </c>
    </row>
    <row r="11" spans="2:8" x14ac:dyDescent="0.25">
      <c r="B11" t="s">
        <v>20</v>
      </c>
      <c r="C11" t="s">
        <v>24</v>
      </c>
      <c r="D11"/>
      <c r="E11"/>
      <c r="G11" t="s">
        <v>50</v>
      </c>
      <c r="H11" t="s">
        <v>175</v>
      </c>
    </row>
    <row r="12" spans="2:8" x14ac:dyDescent="0.25">
      <c r="B12" t="s">
        <v>20</v>
      </c>
      <c r="C12" t="s">
        <v>25</v>
      </c>
      <c r="D12"/>
      <c r="E12"/>
      <c r="G12" t="s">
        <v>51</v>
      </c>
      <c r="H12" t="s">
        <v>176</v>
      </c>
    </row>
    <row r="13" spans="2:8" x14ac:dyDescent="0.25">
      <c r="B13" t="s">
        <v>20</v>
      </c>
      <c r="C13" t="s">
        <v>26</v>
      </c>
      <c r="D13"/>
      <c r="E13"/>
      <c r="G13" t="s">
        <v>45</v>
      </c>
      <c r="H13" t="s">
        <v>177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178</v>
      </c>
    </row>
    <row r="15" spans="2:8" x14ac:dyDescent="0.25">
      <c r="B15" t="s">
        <v>20</v>
      </c>
      <c r="C15" t="s">
        <v>106</v>
      </c>
      <c r="D15"/>
      <c r="E15"/>
      <c r="G15" t="s">
        <v>20</v>
      </c>
      <c r="H15" t="s">
        <v>179</v>
      </c>
    </row>
    <row r="16" spans="2:8" x14ac:dyDescent="0.25">
      <c r="B16" t="s">
        <v>20</v>
      </c>
      <c r="C16" t="s">
        <v>81</v>
      </c>
      <c r="D16"/>
      <c r="E16"/>
      <c r="G16" t="s">
        <v>20</v>
      </c>
      <c r="H16" t="s">
        <v>151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180</v>
      </c>
    </row>
    <row r="18" spans="2:8" x14ac:dyDescent="0.25">
      <c r="B18" t="s">
        <v>29</v>
      </c>
      <c r="C18" t="s">
        <v>88</v>
      </c>
      <c r="D18"/>
      <c r="E18"/>
      <c r="G18" t="s">
        <v>20</v>
      </c>
      <c r="H18" t="s">
        <v>181</v>
      </c>
    </row>
    <row r="19" spans="2:8" x14ac:dyDescent="0.25">
      <c r="C19" t="s">
        <v>89</v>
      </c>
      <c r="D19"/>
      <c r="E19"/>
      <c r="G19" t="s">
        <v>46</v>
      </c>
      <c r="H19" t="s">
        <v>141</v>
      </c>
    </row>
    <row r="20" spans="2:8" x14ac:dyDescent="0.25">
      <c r="B20" t="s">
        <v>29</v>
      </c>
      <c r="C20" t="s">
        <v>86</v>
      </c>
      <c r="D20"/>
      <c r="E20"/>
      <c r="G20" t="s">
        <v>20</v>
      </c>
      <c r="H20" t="s">
        <v>142</v>
      </c>
    </row>
    <row r="21" spans="2:8" x14ac:dyDescent="0.25">
      <c r="C21" t="s">
        <v>87</v>
      </c>
      <c r="D21"/>
      <c r="E21"/>
    </row>
    <row r="22" spans="2:8" x14ac:dyDescent="0.25">
      <c r="B22" t="s">
        <v>29</v>
      </c>
      <c r="C22" t="s">
        <v>136</v>
      </c>
      <c r="D22"/>
      <c r="E22"/>
      <c r="G22" t="s">
        <v>20</v>
      </c>
      <c r="H22" t="s">
        <v>105</v>
      </c>
    </row>
    <row r="23" spans="2:8" x14ac:dyDescent="0.25">
      <c r="C23" t="s">
        <v>137</v>
      </c>
      <c r="D23"/>
      <c r="E23"/>
      <c r="G23" t="s">
        <v>182</v>
      </c>
      <c r="H23" t="s">
        <v>104</v>
      </c>
    </row>
    <row r="24" spans="2:8" x14ac:dyDescent="0.25">
      <c r="B24" t="s">
        <v>20</v>
      </c>
      <c r="C24" t="s">
        <v>76</v>
      </c>
      <c r="D24"/>
      <c r="E24"/>
      <c r="G24" t="s">
        <v>20</v>
      </c>
      <c r="H24" t="s">
        <v>183</v>
      </c>
    </row>
    <row r="25" spans="2:8" x14ac:dyDescent="0.25">
      <c r="B25" t="s">
        <v>20</v>
      </c>
      <c r="C25" t="s">
        <v>69</v>
      </c>
      <c r="D25"/>
      <c r="E25"/>
      <c r="G25" t="s">
        <v>20</v>
      </c>
      <c r="H25" t="s">
        <v>184</v>
      </c>
    </row>
    <row r="26" spans="2:8" x14ac:dyDescent="0.25">
      <c r="B26" t="s">
        <v>20</v>
      </c>
      <c r="C26" t="s">
        <v>70</v>
      </c>
      <c r="D26"/>
      <c r="E26"/>
      <c r="G26" t="s">
        <v>20</v>
      </c>
      <c r="H26" t="s">
        <v>185</v>
      </c>
    </row>
    <row r="27" spans="2:8" x14ac:dyDescent="0.25">
      <c r="B27" t="s">
        <v>72</v>
      </c>
      <c r="C27" t="s">
        <v>73</v>
      </c>
      <c r="D27"/>
      <c r="E27"/>
      <c r="G27" t="s">
        <v>44</v>
      </c>
      <c r="H27" t="s">
        <v>102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186</v>
      </c>
    </row>
    <row r="29" spans="2:8" x14ac:dyDescent="0.25">
      <c r="B29" t="s">
        <v>20</v>
      </c>
      <c r="C29" t="s">
        <v>78</v>
      </c>
      <c r="D29"/>
      <c r="E29"/>
      <c r="G29" t="s">
        <v>44</v>
      </c>
      <c r="H29" t="s">
        <v>199</v>
      </c>
    </row>
    <row r="30" spans="2:8" x14ac:dyDescent="0.25">
      <c r="B30" t="s">
        <v>20</v>
      </c>
      <c r="C30" t="s">
        <v>79</v>
      </c>
      <c r="D30"/>
      <c r="E30"/>
      <c r="G30" t="s">
        <v>20</v>
      </c>
      <c r="H30" t="s">
        <v>187</v>
      </c>
    </row>
    <row r="31" spans="2:8" x14ac:dyDescent="0.25">
      <c r="B31" t="s">
        <v>20</v>
      </c>
      <c r="C31" t="s">
        <v>161</v>
      </c>
      <c r="D31"/>
      <c r="E31"/>
      <c r="G31" t="s">
        <v>45</v>
      </c>
      <c r="H31" t="s">
        <v>188</v>
      </c>
    </row>
    <row r="32" spans="2:8" x14ac:dyDescent="0.25">
      <c r="D32"/>
      <c r="E32"/>
      <c r="G32" t="s">
        <v>47</v>
      </c>
      <c r="H32" t="s">
        <v>147</v>
      </c>
    </row>
    <row r="33" spans="2:8" x14ac:dyDescent="0.25">
      <c r="D33"/>
      <c r="E33"/>
      <c r="G33" t="s">
        <v>48</v>
      </c>
      <c r="H33" t="s">
        <v>189</v>
      </c>
    </row>
    <row r="34" spans="2:8" x14ac:dyDescent="0.25">
      <c r="D34"/>
      <c r="E34"/>
      <c r="G34" t="s">
        <v>48</v>
      </c>
      <c r="H34" t="s">
        <v>190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74</v>
      </c>
      <c r="D38"/>
      <c r="E38"/>
    </row>
    <row r="39" spans="2:8" x14ac:dyDescent="0.25">
      <c r="B39" t="s">
        <v>20</v>
      </c>
      <c r="C39" t="s">
        <v>85</v>
      </c>
      <c r="D39" t="s">
        <v>75</v>
      </c>
      <c r="E39"/>
    </row>
    <row r="40" spans="2:8" x14ac:dyDescent="0.25">
      <c r="B40" t="s">
        <v>20</v>
      </c>
      <c r="C40" t="s">
        <v>92</v>
      </c>
      <c r="D40"/>
      <c r="E40"/>
    </row>
    <row r="41" spans="2:8" x14ac:dyDescent="0.25">
      <c r="B41" t="s">
        <v>20</v>
      </c>
      <c r="C41" t="s">
        <v>94</v>
      </c>
      <c r="D41"/>
      <c r="E41"/>
    </row>
    <row r="42" spans="2:8" x14ac:dyDescent="0.25">
      <c r="B42" t="s">
        <v>20</v>
      </c>
      <c r="C42" t="s">
        <v>95</v>
      </c>
      <c r="D42"/>
      <c r="E42"/>
    </row>
    <row r="43" spans="2:8" x14ac:dyDescent="0.25">
      <c r="B43" t="s">
        <v>20</v>
      </c>
      <c r="C43" t="s">
        <v>96</v>
      </c>
      <c r="D43"/>
      <c r="E43"/>
    </row>
    <row r="44" spans="2:8" x14ac:dyDescent="0.25">
      <c r="B44" t="s">
        <v>20</v>
      </c>
      <c r="C44" t="s">
        <v>118</v>
      </c>
      <c r="D44" t="s">
        <v>119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150</v>
      </c>
    </row>
    <row r="49" spans="2:3" x14ac:dyDescent="0.25">
      <c r="B49" t="s">
        <v>121</v>
      </c>
      <c r="C49" t="s">
        <v>122</v>
      </c>
    </row>
    <row r="50" spans="2:3" x14ac:dyDescent="0.25">
      <c r="C50" t="s">
        <v>123</v>
      </c>
    </row>
    <row r="51" spans="2:3" x14ac:dyDescent="0.25">
      <c r="C51" t="s">
        <v>55</v>
      </c>
    </row>
    <row r="52" spans="2:3" x14ac:dyDescent="0.25">
      <c r="C52" t="s">
        <v>125</v>
      </c>
    </row>
    <row r="53" spans="2:3" x14ac:dyDescent="0.25">
      <c r="C53" t="s">
        <v>130</v>
      </c>
    </row>
    <row r="54" spans="2:3" x14ac:dyDescent="0.25">
      <c r="C54" t="s">
        <v>131</v>
      </c>
    </row>
    <row r="55" spans="2:3" x14ac:dyDescent="0.25">
      <c r="C55" t="s">
        <v>132</v>
      </c>
    </row>
    <row r="56" spans="2:3" x14ac:dyDescent="0.25">
      <c r="C56" t="s">
        <v>133</v>
      </c>
    </row>
    <row r="57" spans="2:3" x14ac:dyDescent="0.25">
      <c r="C57" t="s">
        <v>134</v>
      </c>
    </row>
    <row r="58" spans="2:3" x14ac:dyDescent="0.25">
      <c r="C58" t="s">
        <v>135</v>
      </c>
    </row>
    <row r="59" spans="2:3" x14ac:dyDescent="0.25">
      <c r="C59" t="s">
        <v>140</v>
      </c>
    </row>
    <row r="60" spans="2:3" x14ac:dyDescent="0.25">
      <c r="C60" t="s">
        <v>141</v>
      </c>
    </row>
    <row r="61" spans="2:3" x14ac:dyDescent="0.25">
      <c r="C61" t="s">
        <v>142</v>
      </c>
    </row>
    <row r="62" spans="2:3" x14ac:dyDescent="0.25">
      <c r="C62" t="s">
        <v>171</v>
      </c>
    </row>
    <row r="63" spans="2:3" x14ac:dyDescent="0.25">
      <c r="C63" t="s">
        <v>143</v>
      </c>
    </row>
    <row r="64" spans="2:3" x14ac:dyDescent="0.25">
      <c r="C64" t="s">
        <v>144</v>
      </c>
    </row>
    <row r="65" spans="3:3" x14ac:dyDescent="0.25">
      <c r="C65" t="s">
        <v>145</v>
      </c>
    </row>
    <row r="66" spans="3:3" x14ac:dyDescent="0.25">
      <c r="C66" t="s">
        <v>146</v>
      </c>
    </row>
    <row r="67" spans="3:3" x14ac:dyDescent="0.25">
      <c r="C67" t="s">
        <v>147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38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112</v>
      </c>
      <c r="G4" t="str">
        <f>function!B4</f>
        <v>LoRaStatus_t</v>
      </c>
      <c r="H4" t="str">
        <f>function!C4</f>
        <v>LoRa_StatusDanych</v>
      </c>
      <c r="I4" s="6" t="s">
        <v>112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39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66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53</v>
      </c>
      <c r="J7">
        <f>function!E7</f>
        <v>0</v>
      </c>
    </row>
    <row r="8" spans="3:10" x14ac:dyDescent="0.25">
      <c r="C8" t="s">
        <v>115</v>
      </c>
      <c r="G8" t="str">
        <f>function!B8</f>
        <v>uint8_t</v>
      </c>
      <c r="H8" t="str">
        <f>function!C8</f>
        <v>LoRa_TimerHandshaking</v>
      </c>
      <c r="I8" s="13" t="s">
        <v>66</v>
      </c>
      <c r="J8" s="1" t="s">
        <v>12</v>
      </c>
    </row>
    <row r="9" spans="3:10" x14ac:dyDescent="0.25">
      <c r="C9" t="s">
        <v>116</v>
      </c>
      <c r="G9" t="str">
        <f>function!B9</f>
        <v>uint8_t</v>
      </c>
      <c r="H9" t="str">
        <f>function!C9</f>
        <v>LoRa_TimerRetransmit</v>
      </c>
      <c r="I9" s="13" t="s">
        <v>66</v>
      </c>
      <c r="J9" s="1" t="s">
        <v>165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3" t="s">
        <v>66</v>
      </c>
      <c r="J10" s="1" t="s">
        <v>54</v>
      </c>
    </row>
    <row r="11" spans="3:10" x14ac:dyDescent="0.25">
      <c r="C11" s="9" t="s">
        <v>1</v>
      </c>
      <c r="D11" s="2" t="s">
        <v>117</v>
      </c>
      <c r="E11" s="2" t="s">
        <v>40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120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7" t="s">
        <v>68</v>
      </c>
      <c r="D14" s="2" t="s">
        <v>41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128</v>
      </c>
      <c r="G16" t="str">
        <f>function!B16</f>
        <v>uint8_t</v>
      </c>
      <c r="H16" t="str">
        <f>function!C16</f>
        <v>LoRa_maxChannels</v>
      </c>
      <c r="I16" s="14" t="s">
        <v>75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90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91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4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4" t="s">
        <v>61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124</v>
      </c>
      <c r="G26" t="str">
        <f>function!B26</f>
        <v>uint8_t</v>
      </c>
      <c r="H26" t="str">
        <f>function!C26</f>
        <v>LoRa_batteryLevel</v>
      </c>
      <c r="I26" s="14" t="s">
        <v>71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56</v>
      </c>
      <c r="G27" t="str">
        <f>function!B27</f>
        <v>IsmBand_t</v>
      </c>
      <c r="H27" t="str">
        <f>function!C27</f>
        <v>LoRa_ismBand</v>
      </c>
      <c r="I27" s="14" t="s">
        <v>41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40</v>
      </c>
      <c r="G28" t="str">
        <f>function!B28</f>
        <v>uint8_t</v>
      </c>
      <c r="H28" t="str">
        <f>function!C28</f>
        <v>LoRa_currentDataRate</v>
      </c>
      <c r="I28" s="14" t="s">
        <v>77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126</v>
      </c>
      <c r="G29" t="str">
        <f>function!B29</f>
        <v>uint8_t</v>
      </c>
      <c r="H29" t="str">
        <f>function!C29</f>
        <v>LoRa_minDataRate</v>
      </c>
      <c r="I29" s="14" t="s">
        <v>77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4" t="s">
        <v>80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4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40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4" t="s">
        <v>61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60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56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59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57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2" t="s">
        <v>66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2" t="s">
        <v>66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2" t="s">
        <v>66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2" t="s">
        <v>66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58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2" t="s">
        <v>66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2" t="s">
        <v>66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117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2" t="s">
        <v>66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2" t="s">
        <v>66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2" t="s">
        <v>66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62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67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127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63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64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65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4" t="s">
        <v>129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196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5"/>
      <c r="D7" s="24"/>
      <c r="E7" s="16"/>
      <c r="F7" s="17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8"/>
      <c r="D8" s="25"/>
      <c r="E8" s="19"/>
      <c r="F8" s="20"/>
      <c r="G8" t="str">
        <f>LoRa_System_Init!G8</f>
        <v>uint8_t</v>
      </c>
      <c r="H8" t="str">
        <f>LoRa_System_Init!H8</f>
        <v>LoRa_TimerHandshaking</v>
      </c>
      <c r="I8" s="44" t="s">
        <v>66</v>
      </c>
      <c r="J8" t="str">
        <f>LoRa_System_Init!J8</f>
        <v>LoRa_TimerHandshakingCallback</v>
      </c>
    </row>
    <row r="9" spans="3:10" x14ac:dyDescent="0.25">
      <c r="C9" s="18"/>
      <c r="D9" s="25"/>
      <c r="E9" s="19"/>
      <c r="F9" s="20"/>
      <c r="G9" t="str">
        <f>LoRa_System_Init!G9</f>
        <v>uint8_t</v>
      </c>
      <c r="H9" t="str">
        <f>LoRa_System_Init!H9</f>
        <v>LoRa_TimerRetransmit</v>
      </c>
      <c r="I9" s="44" t="s">
        <v>66</v>
      </c>
      <c r="J9" t="str">
        <f>LoRa_System_Init!J9</f>
        <v>LoRa_TimerRetransmitCallback</v>
      </c>
    </row>
    <row r="10" spans="3:10" x14ac:dyDescent="0.25">
      <c r="C10" s="40" t="s">
        <v>68</v>
      </c>
      <c r="D10" s="36" t="s">
        <v>41</v>
      </c>
      <c r="E10" s="19"/>
      <c r="F10" s="50" t="s">
        <v>224</v>
      </c>
      <c r="G10" t="str">
        <f>LoRa_System_Init!G10</f>
        <v>uint8_t</v>
      </c>
      <c r="H10" t="str">
        <f>LoRa_System_Init!H10</f>
        <v>LoRa_TimerWaitAck</v>
      </c>
      <c r="I10" s="44" t="s">
        <v>66</v>
      </c>
      <c r="J10" t="str">
        <f>LoRa_System_Init!J10</f>
        <v>LoRa_TimerWaitAckCallback</v>
      </c>
    </row>
    <row r="11" spans="3:10" x14ac:dyDescent="0.25">
      <c r="C11" s="32" t="s">
        <v>197</v>
      </c>
      <c r="D11" s="25"/>
      <c r="E11" s="19"/>
      <c r="F11" s="49" t="s">
        <v>224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2" t="s">
        <v>1</v>
      </c>
      <c r="D12" s="43" t="s">
        <v>117</v>
      </c>
      <c r="E12" s="46" t="s">
        <v>40</v>
      </c>
      <c r="F12" s="48" t="s">
        <v>224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8"/>
      <c r="D13" s="25"/>
      <c r="E13" s="19"/>
      <c r="F13" s="20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8"/>
      <c r="D14" s="25"/>
      <c r="E14" s="19"/>
      <c r="F14" s="20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8"/>
      <c r="D15" s="25"/>
      <c r="E15" s="19"/>
      <c r="F15" s="20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8"/>
      <c r="D16" s="25"/>
      <c r="E16" s="19"/>
      <c r="F16" s="20"/>
      <c r="G16" t="str">
        <f>LoRa_System_Init!G16</f>
        <v>uint8_t</v>
      </c>
      <c r="H16" t="str">
        <f>LoRa_System_Init!H16</f>
        <v>LoRa_maxChannels</v>
      </c>
      <c r="I16" s="38" t="s">
        <v>75</v>
      </c>
      <c r="J16">
        <f>LoRa_System_Init!J16</f>
        <v>0</v>
      </c>
    </row>
    <row r="17" spans="2:10" x14ac:dyDescent="0.25">
      <c r="C17" s="18"/>
      <c r="D17" s="25"/>
      <c r="E17" s="19"/>
      <c r="F17" s="20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8"/>
      <c r="D18" s="25"/>
      <c r="E18" s="19"/>
      <c r="F18" s="20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8"/>
      <c r="D19" s="25"/>
      <c r="E19" s="19"/>
      <c r="F19" s="20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8" t="s">
        <v>16</v>
      </c>
      <c r="D20" s="25"/>
      <c r="E20" s="19"/>
      <c r="F20" s="20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8"/>
      <c r="D21" s="25"/>
      <c r="E21" s="19"/>
      <c r="F21" s="20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8"/>
      <c r="D22" s="25"/>
      <c r="E22" s="19"/>
      <c r="F22" s="20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8"/>
      <c r="D23" s="25"/>
      <c r="E23" s="19"/>
      <c r="F23" s="20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1"/>
      <c r="D24" s="26"/>
      <c r="E24" s="22"/>
      <c r="F24" s="23"/>
      <c r="G24" t="str">
        <f>LoRa_System_Init!G24</f>
        <v>uint8_t</v>
      </c>
      <c r="H24" t="str">
        <f>LoRa_System_Init!H24</f>
        <v>LoRa_txPower</v>
      </c>
      <c r="I24" s="38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8" t="s">
        <v>61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1" t="s">
        <v>124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8" t="s">
        <v>71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1" t="s">
        <v>56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8" t="s">
        <v>41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1" t="s">
        <v>40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8" t="s">
        <v>77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1" t="s">
        <v>126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1" t="s">
        <v>40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1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1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1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1" t="s">
        <v>61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1" t="s">
        <v>60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1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1" t="s">
        <v>56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1" t="s">
        <v>59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1" t="s">
        <v>57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1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1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7" t="s">
        <v>66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7" t="s">
        <v>66</v>
      </c>
      <c r="J47" s="67"/>
      <c r="K47" s="68" t="s">
        <v>152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7" t="s">
        <v>66</v>
      </c>
      <c r="J48" s="67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7" t="s">
        <v>66</v>
      </c>
      <c r="J49" s="67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1" t="s">
        <v>58</v>
      </c>
      <c r="J50" s="67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7" t="s">
        <v>66</v>
      </c>
      <c r="J51" s="67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7" t="s">
        <v>66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1" t="s">
        <v>117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7" t="s">
        <v>66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7" t="s">
        <v>66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7" t="s">
        <v>66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1" t="s">
        <v>62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1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1" t="s">
        <v>67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1" t="s">
        <v>198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1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1" t="s">
        <v>63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1" t="s">
        <v>64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1" t="s">
        <v>65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5D2719F4-7671-42DD-B71E-7B951170662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84</v>
      </c>
      <c r="B1" s="5" t="s">
        <v>35</v>
      </c>
      <c r="C1" s="4" t="s">
        <v>16</v>
      </c>
      <c r="D1" s="7" t="s">
        <v>82</v>
      </c>
      <c r="E1" s="2" t="s">
        <v>83</v>
      </c>
      <c r="I1" s="2" t="s">
        <v>3</v>
      </c>
    </row>
    <row r="2" spans="1:10" x14ac:dyDescent="0.25">
      <c r="A2" t="s">
        <v>20</v>
      </c>
      <c r="B2" t="s">
        <v>8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2" t="str">
        <f>main!I3</f>
        <v>LoRa_Idle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200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5"/>
      <c r="D7" s="24"/>
      <c r="E7" s="16"/>
      <c r="F7" s="17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8"/>
      <c r="D8" s="25"/>
      <c r="E8" s="19"/>
      <c r="F8" s="20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8"/>
      <c r="D9" s="35" t="s">
        <v>82</v>
      </c>
      <c r="E9" s="29" t="s">
        <v>201</v>
      </c>
      <c r="F9" s="30" t="s">
        <v>228</v>
      </c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0" t="s">
        <v>202</v>
      </c>
      <c r="D10" s="36" t="s">
        <v>203</v>
      </c>
      <c r="E10" s="31" t="s">
        <v>203</v>
      </c>
      <c r="F10" s="50" t="s">
        <v>224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2" t="s">
        <v>204</v>
      </c>
      <c r="D11" s="37" t="s">
        <v>82</v>
      </c>
      <c r="E11" s="33" t="s">
        <v>201</v>
      </c>
      <c r="F11" s="49" t="s">
        <v>203</v>
      </c>
      <c r="G11" t="str">
        <f>main!G11</f>
        <v>uint8_t</v>
      </c>
      <c r="H11" t="str">
        <f>main!H11</f>
        <v>LoRa_HeaderBufor</v>
      </c>
      <c r="I11" s="45" t="s">
        <v>98</v>
      </c>
      <c r="J11">
        <f>main!J11</f>
        <v>0</v>
      </c>
    </row>
    <row r="12" spans="1:10" x14ac:dyDescent="0.25">
      <c r="C12" s="18"/>
      <c r="D12" s="25"/>
      <c r="E12" s="19"/>
      <c r="F12" s="20"/>
      <c r="G12" t="str">
        <f>main!G12</f>
        <v>uint8_t</v>
      </c>
      <c r="H12" t="str">
        <f>main!H12</f>
        <v>LoRa_HeaderLength</v>
      </c>
      <c r="I12" s="45" t="s">
        <v>99</v>
      </c>
      <c r="J12">
        <f>main!J12</f>
        <v>0</v>
      </c>
    </row>
    <row r="13" spans="1:10" x14ac:dyDescent="0.25">
      <c r="C13" s="18"/>
      <c r="D13" s="25"/>
      <c r="E13" s="19"/>
      <c r="F13" s="20"/>
      <c r="G13" t="str">
        <f>main!G13</f>
        <v>uint8_t</v>
      </c>
      <c r="H13" t="str">
        <f>main!H13</f>
        <v>LoRa_Bufor</v>
      </c>
      <c r="I13" s="45" t="s">
        <v>101</v>
      </c>
      <c r="J13">
        <f>main!J13</f>
        <v>0</v>
      </c>
    </row>
    <row r="14" spans="1:10" x14ac:dyDescent="0.25">
      <c r="C14" s="18"/>
      <c r="D14" s="25"/>
      <c r="E14" s="19"/>
      <c r="F14" s="20"/>
      <c r="G14" t="str">
        <f>main!G14</f>
        <v>uint8_t</v>
      </c>
      <c r="H14" t="str">
        <f>main!H14</f>
        <v>LoRa_BuforLength</v>
      </c>
      <c r="I14" s="45" t="s">
        <v>100</v>
      </c>
      <c r="J14">
        <f>main!J14</f>
        <v>0</v>
      </c>
    </row>
    <row r="15" spans="1:10" x14ac:dyDescent="0.25">
      <c r="C15" s="18"/>
      <c r="D15" s="25"/>
      <c r="E15" s="19"/>
      <c r="F15" s="20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8"/>
      <c r="D16" s="25"/>
      <c r="E16" s="19"/>
      <c r="F16" s="20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8"/>
      <c r="D17" s="25"/>
      <c r="E17" s="19"/>
      <c r="F17" s="20"/>
      <c r="G17" t="str">
        <f>main!G17</f>
        <v>uint8_t</v>
      </c>
      <c r="H17" t="str">
        <f>main!H17</f>
        <v>LoRa_lastUsedChannelIndex</v>
      </c>
      <c r="I17" s="38" t="s">
        <v>167</v>
      </c>
      <c r="J17">
        <f>main!J17</f>
        <v>0</v>
      </c>
    </row>
    <row r="18" spans="3:10" x14ac:dyDescent="0.25">
      <c r="C18" s="18"/>
      <c r="D18" s="25"/>
      <c r="E18" s="19"/>
      <c r="F18" s="20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8"/>
      <c r="D19" s="25"/>
      <c r="E19" s="19"/>
      <c r="F19" s="20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18"/>
      <c r="D20" s="66" t="s">
        <v>138</v>
      </c>
      <c r="E20" s="19"/>
      <c r="F20" s="20"/>
      <c r="G20" t="str">
        <f>main!G20</f>
        <v>ReceiveWindowParameters_t</v>
      </c>
      <c r="H20" t="str">
        <f>main!H20</f>
        <v>LoRa_receiveChannelParameters.frequency</v>
      </c>
      <c r="I20" s="38" t="s">
        <v>168</v>
      </c>
      <c r="J20">
        <f>main!J20</f>
        <v>0</v>
      </c>
    </row>
    <row r="21" spans="3:10" x14ac:dyDescent="0.25">
      <c r="C21" s="18"/>
      <c r="D21" s="25"/>
      <c r="E21" s="69" t="s">
        <v>227</v>
      </c>
      <c r="F21" s="20"/>
      <c r="G21">
        <f>main!G21</f>
        <v>0</v>
      </c>
      <c r="H21" t="str">
        <f>main!H21</f>
        <v>LoRa_receiveChannelParameters.dataRate</v>
      </c>
      <c r="I21" s="38" t="s">
        <v>28</v>
      </c>
      <c r="J21">
        <f>main!J21</f>
        <v>0</v>
      </c>
    </row>
    <row r="22" spans="3:10" x14ac:dyDescent="0.25">
      <c r="C22" s="18"/>
      <c r="D22" s="25"/>
      <c r="E22" s="69" t="s">
        <v>226</v>
      </c>
      <c r="F22" s="20"/>
      <c r="G22" t="str">
        <f>main!G22</f>
        <v>ReceiveWindowParameters_t</v>
      </c>
      <c r="H22" t="str">
        <f>main!H22</f>
        <v>LoRa_sendChannelParameters.frequency</v>
      </c>
      <c r="I22" s="38" t="s">
        <v>168</v>
      </c>
      <c r="J22">
        <f>main!J22</f>
        <v>0</v>
      </c>
    </row>
    <row r="23" spans="3:10" x14ac:dyDescent="0.25">
      <c r="C23" s="18"/>
      <c r="D23" s="25"/>
      <c r="E23" s="19"/>
      <c r="F23" s="20"/>
      <c r="G23">
        <f>main!G23</f>
        <v>0</v>
      </c>
      <c r="H23" t="str">
        <f>main!H23</f>
        <v>LoRa_sendChannelParameters.dataRate</v>
      </c>
      <c r="I23" s="38" t="s">
        <v>28</v>
      </c>
      <c r="J23">
        <f>main!J23</f>
        <v>0</v>
      </c>
    </row>
    <row r="24" spans="3:10" x14ac:dyDescent="0.25">
      <c r="C24" s="21"/>
      <c r="D24" s="26"/>
      <c r="E24" s="22"/>
      <c r="F24" s="23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D20" location="LoRa_Send_Header!C1" display="LoRa_Send_Header" xr:uid="{87F9303A-2BDE-420F-8B03-D8008A5055EB}"/>
    <hyperlink ref="E21" location="LoRa_Send!e21" display="INVALID_BUFFER_LENGTH" xr:uid="{0446C8FE-1CE4-49AD-8D78-E5840C3B881C}"/>
    <hyperlink ref="E22" location="LoRa_Send!e22" display="LoRa_Send_problem" xr:uid="{E90DFDE9-9287-4114-BBCF-D9FDD632409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K77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138</v>
      </c>
      <c r="D1" s="2" t="s">
        <v>82</v>
      </c>
      <c r="E1" s="2" t="s">
        <v>83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113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1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208</v>
      </c>
      <c r="J6">
        <f>LoRa_Send!J6</f>
        <v>0</v>
      </c>
    </row>
    <row r="7" spans="2:10" x14ac:dyDescent="0.25">
      <c r="C7" s="15"/>
      <c r="D7" s="24"/>
      <c r="E7" s="16"/>
      <c r="F7" s="17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8"/>
      <c r="D8" s="25"/>
      <c r="E8" s="19"/>
      <c r="F8" s="20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8"/>
      <c r="D9" s="25"/>
      <c r="E9" s="19"/>
      <c r="F9" s="30" t="s">
        <v>228</v>
      </c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0" t="s">
        <v>205</v>
      </c>
      <c r="D10" s="36" t="s">
        <v>139</v>
      </c>
      <c r="E10" s="31" t="s">
        <v>88</v>
      </c>
      <c r="F10" s="50" t="s">
        <v>224</v>
      </c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2" t="s">
        <v>191</v>
      </c>
      <c r="D11" s="37" t="s">
        <v>139</v>
      </c>
      <c r="E11" s="33" t="s">
        <v>88</v>
      </c>
      <c r="F11" s="49" t="s">
        <v>224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2" t="s">
        <v>0</v>
      </c>
      <c r="D12" s="43" t="s">
        <v>24</v>
      </c>
      <c r="E12" s="46" t="s">
        <v>25</v>
      </c>
      <c r="F12" s="48" t="s">
        <v>224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1" t="s">
        <v>148</v>
      </c>
      <c r="D13" s="52">
        <v>4</v>
      </c>
      <c r="E13" s="19"/>
      <c r="F13" s="54" t="s">
        <v>224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8"/>
      <c r="D14" s="25"/>
      <c r="E14" s="19"/>
      <c r="F14" s="20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8"/>
      <c r="D15" s="25"/>
      <c r="E15" s="19"/>
      <c r="F15" s="20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8"/>
      <c r="D16" s="25"/>
      <c r="E16" s="19"/>
      <c r="F16" s="20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8"/>
      <c r="D17" s="25"/>
      <c r="E17" s="19"/>
      <c r="F17" s="20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8"/>
      <c r="D18" s="25"/>
      <c r="E18" s="19"/>
      <c r="F18" s="20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8"/>
      <c r="D19" s="25"/>
      <c r="E19" s="19"/>
      <c r="F19" s="20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18"/>
      <c r="D20" s="66" t="s">
        <v>13</v>
      </c>
      <c r="E20" s="19"/>
      <c r="F20" s="20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70" t="s">
        <v>209</v>
      </c>
      <c r="D21" s="25"/>
      <c r="E21" s="69" t="s">
        <v>226</v>
      </c>
      <c r="F21" s="20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70" t="s">
        <v>210</v>
      </c>
      <c r="D22" s="25"/>
      <c r="E22" s="19"/>
      <c r="F22" s="20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70" t="s">
        <v>183</v>
      </c>
      <c r="D23" s="25"/>
      <c r="E23" s="19"/>
      <c r="F23" s="20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1"/>
      <c r="D24" s="26"/>
      <c r="E24" s="22"/>
      <c r="F24" s="23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1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1" t="s">
        <v>149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1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55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1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55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55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55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1" x14ac:dyDescent="0.25">
      <c r="C33" t="str">
        <f>LoRa_Send!C33</f>
        <v>SyncWord</v>
      </c>
      <c r="D33" s="55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1" x14ac:dyDescent="0.25">
      <c r="C34" t="str">
        <f>LoRa_Send!C34</f>
        <v>CRC</v>
      </c>
      <c r="D34" s="55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5" t="s">
        <v>88</v>
      </c>
      <c r="J34">
        <f>LoRa_Send!J34</f>
        <v>0</v>
      </c>
    </row>
    <row r="35" spans="3:11" x14ac:dyDescent="0.25">
      <c r="C35" t="str">
        <f>LoRa_Send!C35</f>
        <v>IQInverted</v>
      </c>
      <c r="D35" s="55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1" x14ac:dyDescent="0.25">
      <c r="C36" t="str">
        <f>LoRa_Send!C36</f>
        <v>HopPeriod</v>
      </c>
      <c r="D36" s="55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1" x14ac:dyDescent="0.25">
      <c r="C37" t="str">
        <f>LoRa_Send!C37</f>
        <v>errorCodingRate</v>
      </c>
      <c r="D37" s="55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1" x14ac:dyDescent="0.25">
      <c r="C38" t="str">
        <f>LoRa_Send!C38</f>
        <v>implicitHeaderMode</v>
      </c>
      <c r="D38" s="55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5" t="s">
        <v>69</v>
      </c>
      <c r="J38">
        <f>LoRa_Send!J38</f>
        <v>0</v>
      </c>
    </row>
    <row r="39" spans="3:11" x14ac:dyDescent="0.25">
      <c r="C39" t="str">
        <f>LoRa_Send!C39</f>
        <v>preambleLen</v>
      </c>
      <c r="D39" s="55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1" x14ac:dyDescent="0.25">
      <c r="C40" t="str">
        <f>LoRa_Send!C40</f>
        <v>symbolTimeout</v>
      </c>
      <c r="D40" s="55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1" x14ac:dyDescent="0.25">
      <c r="C41" t="str">
        <f>LoRa_Send!C41</f>
        <v>FSKfreqDeviation</v>
      </c>
      <c r="D41" s="55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5" t="s">
        <v>195</v>
      </c>
      <c r="J41">
        <f>LoRa_Send!J41</f>
        <v>0</v>
      </c>
    </row>
    <row r="42" spans="3:11" x14ac:dyDescent="0.25">
      <c r="C42" t="str">
        <f>LoRa_Send!C42</f>
        <v>FSKBitRate</v>
      </c>
      <c r="D42" s="55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5" t="s">
        <v>206</v>
      </c>
      <c r="J42">
        <f>LoRa_Send!J42</f>
        <v>0</v>
      </c>
    </row>
    <row r="43" spans="3:11" x14ac:dyDescent="0.25">
      <c r="C43" t="str">
        <f>LoRa_Send!C43</f>
        <v>FSK_PREAMBLE</v>
      </c>
      <c r="D43" s="55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5" t="s">
        <v>207</v>
      </c>
      <c r="J43">
        <f>LoRa_Send!J43</f>
        <v>0</v>
      </c>
    </row>
    <row r="44" spans="3:11" x14ac:dyDescent="0.25">
      <c r="C44" t="str">
        <f>LoRa_Send!C44</f>
        <v>fskDataShaping</v>
      </c>
      <c r="D44" s="55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8" t="s">
        <v>97</v>
      </c>
      <c r="J44">
        <f>LoRa_Send!J44</f>
        <v>0</v>
      </c>
    </row>
    <row r="45" spans="3:11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8" t="s">
        <v>39</v>
      </c>
      <c r="J45">
        <f>LoRa_Send!J45</f>
        <v>0</v>
      </c>
    </row>
    <row r="46" spans="3:11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1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7" t="s">
        <v>225</v>
      </c>
      <c r="J47" s="67" t="s">
        <v>152</v>
      </c>
      <c r="K47" s="68" t="s">
        <v>152</v>
      </c>
    </row>
    <row r="48" spans="3:11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5" t="s">
        <v>93</v>
      </c>
      <c r="K48" s="68" t="s">
        <v>154</v>
      </c>
    </row>
    <row r="49" spans="3:11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8" t="s">
        <v>93</v>
      </c>
      <c r="K49" s="68" t="s">
        <v>221</v>
      </c>
    </row>
    <row r="50" spans="3:11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 s="67"/>
    </row>
    <row r="51" spans="3:11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 s="67"/>
    </row>
    <row r="52" spans="3:11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1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1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1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7" t="s">
        <v>5</v>
      </c>
      <c r="J55">
        <f>LoRa_Send!J55</f>
        <v>0</v>
      </c>
    </row>
    <row r="56" spans="3:11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1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1" t="str">
        <f>I58</f>
        <v>WATCHDOG_DEFAULT_TIME</v>
      </c>
      <c r="J57" t="str">
        <f>LoRa_Send!J57</f>
        <v>RADIO_WatchdogTimeout</v>
      </c>
    </row>
    <row r="58" spans="3:11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1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1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1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1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1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1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D20" location="LoRa_TxDone!C1" display="LoRa_TxDone" xr:uid="{4BF0C074-5A72-45DC-BA45-E256A9BDDB3C}"/>
    <hyperlink ref="E21" location="LoRa_Send!e21" display="LoRa_Send_problem" xr:uid="{0C396588-F575-4FAF-9C0E-692C8398C019}"/>
    <hyperlink ref="C21" location="LoRa_TimerHandshakingCallback!C1" display="LoRa_TimerHandshaking_timeout" xr:uid="{C4278B9E-F2D7-4999-9BD7-D63533D1D1CE}"/>
    <hyperlink ref="C22" location="RADIO_WatchdogTimeout!C1" display="watchdogTimerId_timeout" xr:uid="{F156B38D-6191-4A1E-9794-08FEA30C2040}"/>
    <hyperlink ref="C23" location="timeOnAirTimerId!C1" display="timeOnAirTimerId" xr:uid="{9350AEE9-7E59-44E3-8C9A-69B7B069698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D20" sqref="D20"/>
    </sheetView>
  </sheetViews>
  <sheetFormatPr defaultRowHeight="14.3" x14ac:dyDescent="0.25"/>
  <cols>
    <col min="2" max="2" width="15.25" style="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5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4" t="s">
        <v>86</v>
      </c>
    </row>
    <row r="5" spans="1:11" x14ac:dyDescent="0.25">
      <c r="C5" t="str">
        <f>LoRa_Send_Header!C5</f>
        <v>flags</v>
      </c>
      <c r="D5" s="2" t="str">
        <f>I47</f>
        <v>2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5"/>
      <c r="D7" s="24"/>
      <c r="E7" s="16"/>
      <c r="F7" s="17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8"/>
      <c r="D8" s="25"/>
      <c r="E8" s="19"/>
      <c r="F8" s="20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71"/>
      <c r="C9" s="18"/>
      <c r="D9" s="25"/>
      <c r="E9" s="19"/>
      <c r="F9" s="30" t="s">
        <v>233</v>
      </c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 t="s">
        <v>223</v>
      </c>
      <c r="C10" s="40" t="s">
        <v>13</v>
      </c>
      <c r="D10" s="36" t="s">
        <v>14</v>
      </c>
      <c r="E10" s="19"/>
      <c r="F10" s="50" t="s">
        <v>234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 t="s">
        <v>231</v>
      </c>
      <c r="C11" s="32" t="s">
        <v>103</v>
      </c>
      <c r="D11" s="25"/>
      <c r="E11" s="19"/>
      <c r="F11" s="49" t="s">
        <v>234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 t="s">
        <v>232</v>
      </c>
      <c r="C12" s="42" t="s">
        <v>192</v>
      </c>
      <c r="D12" s="43" t="s">
        <v>87</v>
      </c>
      <c r="E12" s="46" t="s">
        <v>86</v>
      </c>
      <c r="F12" s="48" t="s">
        <v>234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C13" s="51" t="s">
        <v>191</v>
      </c>
      <c r="D13" s="52" t="s">
        <v>87</v>
      </c>
      <c r="E13" s="53" t="s">
        <v>86</v>
      </c>
      <c r="F13" s="54" t="s">
        <v>234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2" t="s">
        <v>153</v>
      </c>
      <c r="D14" s="63">
        <v>4</v>
      </c>
      <c r="E14" s="19"/>
      <c r="F14" s="64" t="s">
        <v>234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6" t="s">
        <v>148</v>
      </c>
      <c r="D15" s="57">
        <v>4</v>
      </c>
      <c r="E15" s="19"/>
      <c r="F15" s="58" t="s">
        <v>224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8"/>
      <c r="D16" s="25"/>
      <c r="E16" s="19"/>
      <c r="F16" s="20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8"/>
      <c r="D17" s="25"/>
      <c r="E17" s="19"/>
      <c r="F17" s="20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8"/>
      <c r="D18" s="25"/>
      <c r="E18" s="19"/>
      <c r="F18" s="20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8"/>
      <c r="D19" s="25"/>
      <c r="E19" s="19"/>
      <c r="F19" s="20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18"/>
      <c r="D20" s="66" t="s">
        <v>19</v>
      </c>
      <c r="E20" s="19"/>
      <c r="F20" s="20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70" t="s">
        <v>209</v>
      </c>
      <c r="D21" s="25"/>
      <c r="E21" s="69" t="s">
        <v>223</v>
      </c>
      <c r="F21" s="20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70" t="s">
        <v>183</v>
      </c>
      <c r="D22" s="25"/>
      <c r="E22" s="19"/>
      <c r="F22" s="20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18"/>
      <c r="D23" s="25"/>
      <c r="E23" s="19"/>
      <c r="F23" s="20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1"/>
      <c r="D24" s="26"/>
      <c r="E24" s="22"/>
      <c r="F24" s="23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0" t="s">
        <v>155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0" t="s">
        <v>56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59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0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59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59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59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1" x14ac:dyDescent="0.25">
      <c r="C33" t="str">
        <f>LoRa_Send_Header!C33</f>
        <v>SyncWord</v>
      </c>
      <c r="D33" s="59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1" x14ac:dyDescent="0.25">
      <c r="C34" t="str">
        <f>LoRa_Send_Header!C34</f>
        <v>CRC</v>
      </c>
      <c r="D34" s="59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5" t="s">
        <v>86</v>
      </c>
      <c r="J34">
        <f>LoRa_Send_Header!J34</f>
        <v>0</v>
      </c>
    </row>
    <row r="35" spans="3:11" x14ac:dyDescent="0.25">
      <c r="C35" t="str">
        <f>LoRa_Send_Header!C35</f>
        <v>IQInverted</v>
      </c>
      <c r="D35" s="59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1" x14ac:dyDescent="0.25">
      <c r="C36" t="str">
        <f>LoRa_Send_Header!C36</f>
        <v>HopPeriod</v>
      </c>
      <c r="D36" s="59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1" x14ac:dyDescent="0.25">
      <c r="C37" t="str">
        <f>LoRa_Send_Header!C37</f>
        <v>errorCodingRate</v>
      </c>
      <c r="D37" s="59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1" x14ac:dyDescent="0.25">
      <c r="C38" t="str">
        <f>LoRa_Send_Header!C38</f>
        <v>implicitHeaderMode</v>
      </c>
      <c r="D38" s="59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5" t="s">
        <v>69</v>
      </c>
      <c r="J38">
        <f>LoRa_Send_Header!J38</f>
        <v>0</v>
      </c>
    </row>
    <row r="39" spans="3:11" x14ac:dyDescent="0.25">
      <c r="C39" t="str">
        <f>LoRa_Send_Header!C39</f>
        <v>preambleLen</v>
      </c>
      <c r="D39" s="59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1" x14ac:dyDescent="0.25">
      <c r="C40" t="str">
        <f>LoRa_Send_Header!C40</f>
        <v>symbolTimeout</v>
      </c>
      <c r="D40" s="59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1" x14ac:dyDescent="0.25">
      <c r="C41" t="str">
        <f>LoRa_Send_Header!C41</f>
        <v>FSKfreqDeviation</v>
      </c>
      <c r="D41" s="59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5" t="s">
        <v>194</v>
      </c>
      <c r="J41">
        <f>LoRa_Send_Header!J41</f>
        <v>0</v>
      </c>
    </row>
    <row r="42" spans="3:11" x14ac:dyDescent="0.25">
      <c r="C42" t="str">
        <f>LoRa_Send_Header!C42</f>
        <v>FSKBitRate</v>
      </c>
      <c r="D42" s="59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5" t="s">
        <v>211</v>
      </c>
      <c r="J42">
        <f>LoRa_Send_Header!J42</f>
        <v>0</v>
      </c>
    </row>
    <row r="43" spans="3:11" x14ac:dyDescent="0.25">
      <c r="C43" t="str">
        <f>LoRa_Send_Header!C43</f>
        <v>FSK_PREAMBLE</v>
      </c>
      <c r="D43" s="59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5" t="s">
        <v>212</v>
      </c>
      <c r="J43">
        <f>LoRa_Send_Header!J43</f>
        <v>0</v>
      </c>
    </row>
    <row r="44" spans="3:11" x14ac:dyDescent="0.25">
      <c r="C44" t="str">
        <f>LoRa_Send_Header!C44</f>
        <v>fskDataShaping</v>
      </c>
      <c r="D44" s="59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1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93</v>
      </c>
      <c r="J45">
        <f>LoRa_Send_Header!J45</f>
        <v>0</v>
      </c>
    </row>
    <row r="46" spans="3:11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1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1" t="s">
        <v>220</v>
      </c>
      <c r="J47" s="67"/>
      <c r="K47" s="68" t="s">
        <v>152</v>
      </c>
    </row>
    <row r="48" spans="3:11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5" t="s">
        <v>93</v>
      </c>
      <c r="J48" s="67" t="s">
        <v>154</v>
      </c>
      <c r="K48" s="68" t="s">
        <v>154</v>
      </c>
    </row>
    <row r="49" spans="3:11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39</v>
      </c>
      <c r="J49" s="67"/>
      <c r="K49" s="68" t="s">
        <v>221</v>
      </c>
    </row>
    <row r="50" spans="3:11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 s="67"/>
    </row>
    <row r="51" spans="3:11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 s="67"/>
      <c r="K51" s="68" t="s">
        <v>223</v>
      </c>
    </row>
    <row r="52" spans="3:11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1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1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1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1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1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1" t="str">
        <f>I58</f>
        <v>WATCHDOG_DEFAULT_TIME</v>
      </c>
      <c r="J57" t="str">
        <f>LoRa_Send_Header!J57</f>
        <v>RADIO_WatchdogTimeout</v>
      </c>
    </row>
    <row r="58" spans="3:11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1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1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1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1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1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1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D20" location="RADIO_RxDone!C1" display="LoRa_RxDone" xr:uid="{32F73B42-2CF4-4834-AFF0-12FE0736EF6B}"/>
    <hyperlink ref="E21" location="RADIO_TxDone!e21" display="RADIO_FLAG_TIMEOUT" xr:uid="{2C7CB889-455C-4EC4-97B5-B4F22A00B2F1}"/>
    <hyperlink ref="C21" location="LoRa_TimerHandshakingCallback!C1" display="LoRa_TimerHandshaking_timeout" xr:uid="{AAC4C990-7683-4FE6-A3F4-B1316E09D345}"/>
    <hyperlink ref="C22" location="timeOnAirTimerId!C1" display="timeOnAirTimerId" xr:uid="{B2257A81-CFCA-49FB-91D0-C15ABCE71445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LoRa_transmit_Error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6" t="s">
        <v>11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66</v>
      </c>
      <c r="J8" t="str">
        <f>LoRa_TxDone!J8</f>
        <v>LoRa_TimerHandshakingCallback</v>
      </c>
    </row>
    <row r="9" spans="2:10" x14ac:dyDescent="0.25">
      <c r="C9" s="18"/>
      <c r="D9" s="25"/>
      <c r="E9" s="19"/>
      <c r="F9" s="30" t="s">
        <v>228</v>
      </c>
      <c r="G9" t="str">
        <f>LoRa_TxDone!G9</f>
        <v>uint8_t</v>
      </c>
      <c r="H9" t="str">
        <f>LoRa_TxDone!H9</f>
        <v>LoRa_TimerRetransmit</v>
      </c>
      <c r="I9" s="47" t="s">
        <v>166</v>
      </c>
      <c r="J9" t="str">
        <f>LoRa_TxDone!J9</f>
        <v>LoRa_TimerRetransmitCallback</v>
      </c>
    </row>
    <row r="10" spans="2:10" x14ac:dyDescent="0.25">
      <c r="B10" t="s">
        <v>247</v>
      </c>
      <c r="C10" s="40" t="s">
        <v>245</v>
      </c>
      <c r="D10" s="25"/>
      <c r="E10" s="19"/>
      <c r="F10" s="50" t="s">
        <v>228</v>
      </c>
      <c r="G10" t="str">
        <f>LoRa_TxDone!G10</f>
        <v>uint8_t</v>
      </c>
      <c r="H10" t="str">
        <f>LoRa_TxDone!H10</f>
        <v>LoRa_TimerWaitAck</v>
      </c>
      <c r="I10" s="39" t="s">
        <v>66</v>
      </c>
      <c r="J10" t="str">
        <f>LoRa_TxDone!J10</f>
        <v>LoRa_TimerWaitAckCallback</v>
      </c>
    </row>
    <row r="11" spans="2:10" x14ac:dyDescent="0.25">
      <c r="B11" t="s">
        <v>164</v>
      </c>
      <c r="C11" s="32" t="s">
        <v>246</v>
      </c>
      <c r="D11" s="25"/>
      <c r="E11" s="19"/>
      <c r="F11" s="49" t="s">
        <v>228</v>
      </c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s">
        <v>200</v>
      </c>
      <c r="C12" s="42" t="s">
        <v>244</v>
      </c>
      <c r="D12" s="25"/>
      <c r="E12" s="19"/>
      <c r="F12" s="48" t="s">
        <v>228</v>
      </c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6" t="s">
        <v>164</v>
      </c>
      <c r="E20" s="73" t="s">
        <v>200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45" t="s">
        <v>124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45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66</v>
      </c>
      <c r="J47" s="67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7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7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7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7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39" t="s">
        <v>66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39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TimerRetransmit!C1" display="LoRa_TimerRetransmit" xr:uid="{E757B244-20AA-4C88-9C16-13B016FB785A}"/>
    <hyperlink ref="E20" location="LoRa_transmit_Fail!C1" display="LoRa_transmit_Fail" xr:uid="{D269E1E9-C2AB-4E61-9529-B869E982AB6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LoRa_TimerHandshaking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6B3D7-7CF8-4C31-8514-26A574D355ED}">
  <sheetPr codeName="Arkusz16"/>
  <dimension ref="B1:J78"/>
  <sheetViews>
    <sheetView showZeros="0" workbookViewId="0">
      <selection activeCell="C15" sqref="C1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54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2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2" t="str">
        <f>LoRa_TxDone!I8</f>
        <v>LoRa_Handshaking_timeout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236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s="3"/>
      <c r="C10" s="18"/>
      <c r="D10" s="25"/>
      <c r="E10" s="19"/>
      <c r="F10" s="20"/>
      <c r="G10" t="str">
        <f>LoRa_TxDone!G10</f>
        <v>uint8_t</v>
      </c>
      <c r="H10" t="str">
        <f>LoRa_TxDone!H10</f>
        <v>LoRa_TimerWaitAck</v>
      </c>
      <c r="I10" s="2" t="str">
        <f>LoRa_TxDone!I10</f>
        <v>0</v>
      </c>
      <c r="J10" t="str">
        <f>LoRa_TxDone!J10</f>
        <v>LoRa_TimerWaitAckCallback</v>
      </c>
    </row>
    <row r="11" spans="2:10" x14ac:dyDescent="0.25">
      <c r="B11" s="3"/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s="3"/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6" t="s">
        <v>244</v>
      </c>
      <c r="E20" s="19"/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2" t="str">
        <f>LoRa_TxDone!D26</f>
        <v>MODE_RXSINGLE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2" t="str">
        <f>LoRa_TxDone!D27</f>
        <v>MODULATION_LORA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2" t="str">
        <f>LoRa_TxDone!I47</f>
        <v>2</v>
      </c>
      <c r="J47">
        <f>LoRa_TxDone!J47</f>
        <v>0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t="str">
        <f>LoRa_TxDone!J48</f>
        <v>RADIO_FLAG_RECEIVING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2" t="str">
        <f>LoRa_TxDone!I57</f>
        <v>WATCHDOG_DEFAULT_TIME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PrepareRetransmit!C1" display="LoRa_PrepareRetransmit" xr:uid="{750107EA-CDDE-4017-BC33-DCC1D1A0A57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Ra_TimerWaitAck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7F0F1-95EE-4C1B-8B8E-AAD0E4FCA7B3}">
  <sheetPr codeName="Arkusz7"/>
  <dimension ref="B1:J78"/>
  <sheetViews>
    <sheetView showZeros="0" workbookViewId="0">
      <selection activeCell="E28" sqref="E28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165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2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2" t="str">
        <f>LoRa_TxDone!I8</f>
        <v>LoRa_Handshaking_timeout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236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s="3"/>
      <c r="C10" s="18"/>
      <c r="D10" s="25"/>
      <c r="E10" s="19"/>
      <c r="F10" s="20"/>
      <c r="G10" t="str">
        <f>LoRa_TxDone!G10</f>
        <v>uint8_t</v>
      </c>
      <c r="H10" t="str">
        <f>LoRa_TxDone!H10</f>
        <v>LoRa_TimerWaitAck</v>
      </c>
      <c r="I10" s="2" t="str">
        <f>LoRa_TxDone!I10</f>
        <v>0</v>
      </c>
      <c r="J10" t="str">
        <f>LoRa_TxDone!J10</f>
        <v>LoRa_TimerWaitAckCallback</v>
      </c>
    </row>
    <row r="11" spans="2:10" x14ac:dyDescent="0.25">
      <c r="B11" s="3"/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s="3"/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6" t="s">
        <v>244</v>
      </c>
      <c r="E20" s="19"/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2" t="str">
        <f>LoRa_TxDone!D26</f>
        <v>MODE_RXSINGLE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2" t="str">
        <f>LoRa_TxDone!D27</f>
        <v>MODULATION_LORA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2" t="str">
        <f>LoRa_TxDone!I47</f>
        <v>2</v>
      </c>
      <c r="J47">
        <f>LoRa_TxDone!J47</f>
        <v>0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t="str">
        <f>LoRa_TxDone!J48</f>
        <v>RADIO_FLAG_RECEIVING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2" t="str">
        <f>LoRa_TxDone!I57</f>
        <v>WATCHDOG_DEFAULT_TIME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PrepareRetransmit!C1" display="LoRa_PrepareRetransmit" xr:uid="{BA83023E-5C49-4CC4-ADE1-636FC102447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LoRa_TimerRetransmit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66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236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t="s">
        <v>235</v>
      </c>
      <c r="C10" s="40" t="s">
        <v>19</v>
      </c>
      <c r="D10" s="36" t="s">
        <v>104</v>
      </c>
      <c r="E10" s="31" t="s">
        <v>105</v>
      </c>
      <c r="F10" s="50" t="s">
        <v>215</v>
      </c>
      <c r="G10" t="str">
        <f>LoRa_TxDone!G10</f>
        <v>uint8_t</v>
      </c>
      <c r="H10" t="str">
        <f>LoRa_TxDone!H10</f>
        <v>LoRa_TimerWaitAck</v>
      </c>
      <c r="I10" s="39" t="s">
        <v>66</v>
      </c>
      <c r="J10" t="str">
        <f>LoRa_TxDone!J10</f>
        <v>LoRa_TimerWaitAckCallback</v>
      </c>
    </row>
    <row r="11" spans="2:10" x14ac:dyDescent="0.25">
      <c r="B11" t="s">
        <v>222</v>
      </c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72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5" t="s">
        <v>156</v>
      </c>
      <c r="E20" s="73" t="s">
        <v>157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74" t="s">
        <v>209</v>
      </c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74" t="s">
        <v>210</v>
      </c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74" t="s">
        <v>183</v>
      </c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66</v>
      </c>
      <c r="J47" s="67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7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7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7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7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213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214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188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E5902E93-1A08-4513-BA20-EDFC64A7F98C}"/>
    <hyperlink ref="E20" location="LoRa_RxDone_Fail!C1" display="LoRa_RxDone_Fail" xr:uid="{EB2B3F24-C645-4620-8505-E16E3F5E6B66}"/>
    <hyperlink ref="C21" location="LoRa_TimerHandshakingCallback!C1" display="LoRa_TimerHandshaking_timeout" xr:uid="{6C245F1B-4715-4C62-A1B9-CB279822BB4F}"/>
    <hyperlink ref="C22" location="RADIO_WatchdogTimeout!C1" display="watchdogTimerId_timeout" xr:uid="{5340144C-409A-4B49-81A8-961371FFB2B0}"/>
    <hyperlink ref="C23" location="timeOnAirTimerId!C1" display="timeOnAirTimerId" xr:uid="{E6B7F017-CD07-4DD7-8E2B-38381F57FC3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K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156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55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1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35" t="s">
        <v>104</v>
      </c>
      <c r="E9" s="29" t="s">
        <v>105</v>
      </c>
      <c r="F9" s="30" t="s">
        <v>233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s">
        <v>229</v>
      </c>
      <c r="C10" s="18"/>
      <c r="D10" s="25"/>
      <c r="E10" s="19"/>
      <c r="F10" s="20"/>
      <c r="G10" t="str">
        <f>RADIO_RxDone!G10</f>
        <v>uint8_t</v>
      </c>
      <c r="H10" t="str">
        <f>RADIO_RxDone!H10</f>
        <v>LoRa_TimerWaitAck</v>
      </c>
      <c r="I10" s="55" t="s">
        <v>107</v>
      </c>
      <c r="J10" t="str">
        <f>RADIO_RxDone!J10</f>
        <v>LoRa_TimerWaitAckCallback</v>
      </c>
    </row>
    <row r="11" spans="2:10" x14ac:dyDescent="0.25">
      <c r="B11" t="s">
        <v>230</v>
      </c>
      <c r="C11" s="18"/>
      <c r="D11" s="25"/>
      <c r="E11" s="19"/>
      <c r="F11" s="20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s">
        <v>237</v>
      </c>
      <c r="C12" s="42" t="s">
        <v>238</v>
      </c>
      <c r="D12" s="43" t="s">
        <v>7</v>
      </c>
      <c r="E12" s="46" t="s">
        <v>8</v>
      </c>
      <c r="F12" s="48" t="s">
        <v>239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s">
        <v>232</v>
      </c>
      <c r="C13" s="51" t="s">
        <v>0</v>
      </c>
      <c r="D13" s="52" t="s">
        <v>26</v>
      </c>
      <c r="E13" s="53" t="s">
        <v>27</v>
      </c>
      <c r="F13" s="54" t="s">
        <v>234</v>
      </c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s">
        <v>231</v>
      </c>
      <c r="C14" s="62" t="s">
        <v>148</v>
      </c>
      <c r="D14" s="63">
        <v>4</v>
      </c>
      <c r="E14" s="19"/>
      <c r="F14" s="64" t="s">
        <v>224</v>
      </c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41" t="s">
        <v>158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75" t="s">
        <v>216</v>
      </c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74" t="s">
        <v>217</v>
      </c>
      <c r="D21" s="25"/>
      <c r="E21" s="73" t="s">
        <v>226</v>
      </c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74" t="s">
        <v>210</v>
      </c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74" t="s">
        <v>183</v>
      </c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55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55" t="s">
        <v>149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55" t="str">
        <f>I41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60" t="str">
        <f>I34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55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60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60" t="str">
        <f>I42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60" t="str">
        <f>I43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1" x14ac:dyDescent="0.25">
      <c r="C33" t="str">
        <f>RADIO_RxDone!C33</f>
        <v>SyncWord</v>
      </c>
      <c r="D33" s="60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1" x14ac:dyDescent="0.25">
      <c r="C34" t="str">
        <f>RADIO_RxDone!C34</f>
        <v>CRC</v>
      </c>
      <c r="D34" s="60" t="str">
        <f>I45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1" x14ac:dyDescent="0.25">
      <c r="C35" t="str">
        <f>RADIO_RxDone!C35</f>
        <v>IQInverted</v>
      </c>
      <c r="D35" s="60" t="str">
        <f>I49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1" x14ac:dyDescent="0.25">
      <c r="C36" t="str">
        <f>RADIO_RxDone!C36</f>
        <v>HopPeriod</v>
      </c>
      <c r="D36" s="60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1" x14ac:dyDescent="0.25">
      <c r="C37" t="str">
        <f>RADIO_RxDone!C37</f>
        <v>errorCodingRate</v>
      </c>
      <c r="D37" s="60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1" x14ac:dyDescent="0.25">
      <c r="C38" t="str">
        <f>RADIO_RxDone!C38</f>
        <v>implicitHeaderMode</v>
      </c>
      <c r="D38" s="60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1" x14ac:dyDescent="0.25">
      <c r="C39" t="str">
        <f>RADIO_RxDone!C39</f>
        <v>preambleLen</v>
      </c>
      <c r="D39" s="60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1" x14ac:dyDescent="0.25">
      <c r="C40" t="str">
        <f>RADIO_RxDone!C40</f>
        <v>symbolTimeout</v>
      </c>
      <c r="D40" s="60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1" x14ac:dyDescent="0.25">
      <c r="C41" t="str">
        <f>RADIO_RxDone!C41</f>
        <v>FSKfreqDeviation</v>
      </c>
      <c r="D41" s="60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1" x14ac:dyDescent="0.25">
      <c r="C42" t="str">
        <f>RADIO_RxDone!C42</f>
        <v>FSKBitRate</v>
      </c>
      <c r="D42" s="60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1" x14ac:dyDescent="0.25">
      <c r="C43" t="str">
        <f>RADIO_RxDone!C43</f>
        <v>FSK_PREAMBLE</v>
      </c>
      <c r="D43" s="60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1" x14ac:dyDescent="0.25">
      <c r="C44" t="str">
        <f>RADIO_RxDone!C44</f>
        <v>fskDataShaping</v>
      </c>
      <c r="D44" s="60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1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1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1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65" t="s">
        <v>225</v>
      </c>
      <c r="J47" s="67" t="s">
        <v>152</v>
      </c>
      <c r="K47" s="68" t="s">
        <v>152</v>
      </c>
    </row>
    <row r="48" spans="3:11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K48" s="68" t="s">
        <v>154</v>
      </c>
    </row>
    <row r="49" spans="3:11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K49" s="68" t="s">
        <v>221</v>
      </c>
    </row>
    <row r="50" spans="3:11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 s="67"/>
    </row>
    <row r="51" spans="3:11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 s="67"/>
    </row>
    <row r="52" spans="3:11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1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1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1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65" t="s">
        <v>5</v>
      </c>
      <c r="J55">
        <f>RADIO_RxDone!J55</f>
        <v>0</v>
      </c>
    </row>
    <row r="56" spans="3:11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1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55" t="str">
        <f>I58</f>
        <v>WATCHDOG_DEFAULT_TIME</v>
      </c>
      <c r="J57" t="str">
        <f>RADIO_RxDone!J57</f>
        <v>RADIO_WatchdogTimeout</v>
      </c>
    </row>
    <row r="58" spans="3:11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1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1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1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1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1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1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LoRa_TxDone_DATA" xr:uid="{837A2F80-9C6F-4EF1-B8C5-D6DB5165C60F}"/>
    <hyperlink ref="C21" location="LoRa_TimerWaitAckCallback!C1" display="LoRa_TimerWaitAck_timeout" xr:uid="{2CBF12B8-4B5F-44A4-8DA7-F65A91A3C480}"/>
    <hyperlink ref="C22" location="RADIO_WatchdogTimeout!C1" display="watchdogTimerId_timeout" xr:uid="{6D873AAF-8D6E-4E73-88B1-3DD65E0D3C2D}"/>
    <hyperlink ref="C23" location="timeOnAirTimerId!C1" display="timeOnAirTimerId" xr:uid="{5E15B928-596E-4FC6-A184-452253663373}"/>
    <hyperlink ref="E21" location="LoRa_RxDone_OK!e21" display="LoRa_Send_problem" xr:uid="{6808533E-EAC5-4384-B525-85CD77E25B4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_H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25"/>
      <c r="E9" s="19"/>
      <c r="F9" s="20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8"/>
      <c r="D10" s="25"/>
      <c r="E10" s="19"/>
      <c r="F10" s="20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8"/>
      <c r="D11" s="25"/>
      <c r="E11" s="19"/>
      <c r="F11" s="20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8"/>
      <c r="D12" s="25"/>
      <c r="E12" s="19"/>
      <c r="F12" s="20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8"/>
      <c r="D13" s="25"/>
      <c r="E13" s="19"/>
      <c r="F13" s="20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8"/>
      <c r="D14" s="25"/>
      <c r="E14" s="19"/>
      <c r="F14" s="20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25"/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8"/>
      <c r="D21" s="25"/>
      <c r="E21" s="19"/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8"/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8"/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K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160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2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5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2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5"/>
      <c r="D7" s="24"/>
      <c r="E7" s="16"/>
      <c r="F7" s="17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8"/>
      <c r="D8" s="25"/>
      <c r="E8" s="19"/>
      <c r="F8" s="20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8"/>
      <c r="D9" s="25"/>
      <c r="E9" s="19"/>
      <c r="F9" s="30" t="s">
        <v>233</v>
      </c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 t="s">
        <v>223</v>
      </c>
      <c r="C10" s="40" t="s">
        <v>216</v>
      </c>
      <c r="D10" s="36" t="s">
        <v>14</v>
      </c>
      <c r="E10" s="19"/>
      <c r="F10" s="50" t="s">
        <v>234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 t="s">
        <v>231</v>
      </c>
      <c r="C11" s="32" t="s">
        <v>240</v>
      </c>
      <c r="D11" s="25"/>
      <c r="E11" s="19"/>
      <c r="F11" s="49" t="s">
        <v>234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 t="s">
        <v>232</v>
      </c>
      <c r="C12" s="42" t="s">
        <v>192</v>
      </c>
      <c r="D12" s="43" t="s">
        <v>87</v>
      </c>
      <c r="E12" s="46" t="s">
        <v>86</v>
      </c>
      <c r="F12" s="48" t="s">
        <v>234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1" t="s">
        <v>191</v>
      </c>
      <c r="D13" s="52" t="s">
        <v>87</v>
      </c>
      <c r="E13" s="53" t="s">
        <v>86</v>
      </c>
      <c r="F13" s="54" t="s">
        <v>234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2" t="s">
        <v>153</v>
      </c>
      <c r="D14" s="63">
        <v>4</v>
      </c>
      <c r="E14" s="19"/>
      <c r="F14" s="64" t="s">
        <v>234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6" t="s">
        <v>148</v>
      </c>
      <c r="D15" s="57">
        <v>4</v>
      </c>
      <c r="E15" s="19"/>
      <c r="F15" s="58" t="s">
        <v>224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8"/>
      <c r="D16" s="25"/>
      <c r="E16" s="19"/>
      <c r="F16" s="20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8"/>
      <c r="D17" s="25"/>
      <c r="E17" s="19"/>
      <c r="F17" s="20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8"/>
      <c r="D18" s="25"/>
      <c r="E18" s="19"/>
      <c r="F18" s="20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8"/>
      <c r="D19" s="25"/>
      <c r="E19" s="19"/>
      <c r="F19" s="20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18"/>
      <c r="D20" s="75" t="s">
        <v>241</v>
      </c>
      <c r="E20" s="19"/>
      <c r="F20" s="20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74" t="s">
        <v>209</v>
      </c>
      <c r="D21" s="25"/>
      <c r="E21" s="73" t="s">
        <v>223</v>
      </c>
      <c r="F21" s="20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74" t="s">
        <v>183</v>
      </c>
      <c r="D22" s="25"/>
      <c r="E22" s="19"/>
      <c r="F22" s="20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18"/>
      <c r="D23" s="25"/>
      <c r="E23" s="19"/>
      <c r="F23" s="20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1"/>
      <c r="D24" s="26"/>
      <c r="E24" s="22"/>
      <c r="F24" s="23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60" t="s">
        <v>155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60" t="s">
        <v>56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59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60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59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59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59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1" x14ac:dyDescent="0.25">
      <c r="C33" t="str">
        <f>LoRa_RxDone_OK!C33</f>
        <v>SyncWord</v>
      </c>
      <c r="D33" s="59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1" x14ac:dyDescent="0.25">
      <c r="C34" t="str">
        <f>LoRa_RxDone_OK!C34</f>
        <v>CRC</v>
      </c>
      <c r="D34" s="59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5" t="s">
        <v>86</v>
      </c>
      <c r="J34">
        <f>LoRa_RxDone_OK!J34</f>
        <v>0</v>
      </c>
    </row>
    <row r="35" spans="3:11" x14ac:dyDescent="0.25">
      <c r="C35" t="str">
        <f>LoRa_RxDone_OK!C35</f>
        <v>IQInverted</v>
      </c>
      <c r="D35" s="59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1" x14ac:dyDescent="0.25">
      <c r="C36" t="str">
        <f>LoRa_RxDone_OK!C36</f>
        <v>HopPeriod</v>
      </c>
      <c r="D36" s="59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1" x14ac:dyDescent="0.25">
      <c r="C37" t="str">
        <f>LoRa_RxDone_OK!C37</f>
        <v>errorCodingRate</v>
      </c>
      <c r="D37" s="59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1" x14ac:dyDescent="0.25">
      <c r="C38" t="str">
        <f>LoRa_RxDone_OK!C38</f>
        <v>implicitHeaderMode</v>
      </c>
      <c r="D38" s="59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5" t="s">
        <v>69</v>
      </c>
      <c r="J38">
        <f>LoRa_RxDone_OK!J38</f>
        <v>0</v>
      </c>
    </row>
    <row r="39" spans="3:11" x14ac:dyDescent="0.25">
      <c r="C39" t="str">
        <f>LoRa_RxDone_OK!C39</f>
        <v>preambleLen</v>
      </c>
      <c r="D39" s="59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1" x14ac:dyDescent="0.25">
      <c r="C40" t="str">
        <f>LoRa_RxDone_OK!C40</f>
        <v>symbolTimeout</v>
      </c>
      <c r="D40" s="59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1" x14ac:dyDescent="0.25">
      <c r="C41" t="str">
        <f>LoRa_RxDone_OK!C41</f>
        <v>FSKfreqDeviation</v>
      </c>
      <c r="D41" s="59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5" t="s">
        <v>194</v>
      </c>
      <c r="J41">
        <f>LoRa_RxDone_OK!J41</f>
        <v>0</v>
      </c>
    </row>
    <row r="42" spans="3:11" x14ac:dyDescent="0.25">
      <c r="C42" t="str">
        <f>LoRa_RxDone_OK!C42</f>
        <v>FSKBitRate</v>
      </c>
      <c r="D42" s="59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5" t="s">
        <v>211</v>
      </c>
      <c r="J42">
        <f>LoRa_RxDone_OK!J42</f>
        <v>0</v>
      </c>
    </row>
    <row r="43" spans="3:11" x14ac:dyDescent="0.25">
      <c r="C43" t="str">
        <f>LoRa_RxDone_OK!C43</f>
        <v>FSK_PREAMBLE</v>
      </c>
      <c r="D43" s="59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5" t="s">
        <v>212</v>
      </c>
      <c r="J43">
        <f>LoRa_RxDone_OK!J43</f>
        <v>0</v>
      </c>
    </row>
    <row r="44" spans="3:11" x14ac:dyDescent="0.25">
      <c r="C44" t="str">
        <f>LoRa_RxDone_OK!C44</f>
        <v>fskDataShaping</v>
      </c>
      <c r="D44" s="59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1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6" t="s">
        <v>93</v>
      </c>
      <c r="J45">
        <f>LoRa_RxDone_OK!J45</f>
        <v>0</v>
      </c>
    </row>
    <row r="46" spans="3:11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1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1" t="s">
        <v>220</v>
      </c>
      <c r="J47" s="67"/>
      <c r="K47" s="68" t="s">
        <v>152</v>
      </c>
    </row>
    <row r="48" spans="3:11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5" t="s">
        <v>93</v>
      </c>
      <c r="J48" s="67" t="s">
        <v>154</v>
      </c>
      <c r="K48" s="68" t="s">
        <v>154</v>
      </c>
    </row>
    <row r="49" spans="3:11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6" t="s">
        <v>39</v>
      </c>
      <c r="J49" s="67"/>
      <c r="K49" s="68" t="s">
        <v>221</v>
      </c>
    </row>
    <row r="50" spans="3:11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 s="67"/>
    </row>
    <row r="51" spans="3:11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 s="67"/>
      <c r="K51" s="68" t="s">
        <v>223</v>
      </c>
    </row>
    <row r="52" spans="3:11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1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1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1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1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1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1" t="str">
        <f>I58</f>
        <v>WATCHDOG_DEFAULT_TIME</v>
      </c>
      <c r="J57" t="str">
        <f>LoRa_RxDone_OK!J57</f>
        <v>RADIO_WatchdogTimeout</v>
      </c>
    </row>
    <row r="58" spans="3:11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1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1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1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1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1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1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D20" location="RADIO_RxDone_DATA!C1" display="LoRa_RxDone_DATA" xr:uid="{541B596C-1679-4E15-B9E7-B7570829B148}"/>
    <hyperlink ref="E21" location="RADIO_TxDone_DATA!e21" display="RADIO_FLAG_TIMEOUT" xr:uid="{E959FE50-48D2-4BC3-AED4-BFC658C89C5A}"/>
    <hyperlink ref="C21" location="LoRa_TimerHandshakingCallback!C1" display="LoRa_TimerHandshaking_timeout" xr:uid="{99659276-EC11-4C30-BA48-448268BE8239}"/>
    <hyperlink ref="C22" location="timeOnAirTimerId!C1" display="timeOnAirTimerId" xr:uid="{69A6A2EE-FE6D-436E-8609-EE8B0D05DA3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5"/>
      <c r="D7" s="24"/>
      <c r="E7" s="16"/>
      <c r="F7" s="17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8"/>
      <c r="D8" s="25"/>
      <c r="E8" s="19"/>
      <c r="F8" s="20"/>
      <c r="G8" t="str">
        <f>LoRa_TxDone_DATA!G8</f>
        <v>uint8_t</v>
      </c>
      <c r="H8" t="str">
        <f>LoRa_TxDone_DATA!H8</f>
        <v>LoRa_TimerHandshaking</v>
      </c>
      <c r="I8" s="39" t="s">
        <v>66</v>
      </c>
      <c r="J8" t="str">
        <f>LoRa_TxDone_DATA!J8</f>
        <v>LoRa_TimerHandshakingCallback</v>
      </c>
    </row>
    <row r="9" spans="2:10" x14ac:dyDescent="0.25">
      <c r="B9" s="3"/>
      <c r="C9" s="18"/>
      <c r="D9" s="25"/>
      <c r="E9" s="19"/>
      <c r="F9" s="30" t="s">
        <v>236</v>
      </c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 t="s">
        <v>235</v>
      </c>
      <c r="C10" s="40" t="s">
        <v>19</v>
      </c>
      <c r="D10" s="36" t="s">
        <v>104</v>
      </c>
      <c r="E10" s="31" t="s">
        <v>105</v>
      </c>
      <c r="F10" s="50" t="s">
        <v>215</v>
      </c>
      <c r="G10" t="str">
        <f>LoRa_TxDone_DATA!G10</f>
        <v>uint8_t</v>
      </c>
      <c r="H10" t="str">
        <f>LoRa_TxDone_DATA!H10</f>
        <v>LoRa_TimerWaitAck</v>
      </c>
      <c r="I10" s="39" t="s">
        <v>66</v>
      </c>
      <c r="J10" t="str">
        <f>LoRa_TxDone_DATA!J10</f>
        <v>LoRa_TimerWaitAckCallback</v>
      </c>
    </row>
    <row r="11" spans="2:10" x14ac:dyDescent="0.25">
      <c r="B11" t="s">
        <v>222</v>
      </c>
      <c r="C11" s="18"/>
      <c r="D11" s="25"/>
      <c r="E11" s="19"/>
      <c r="F11" s="20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 t="s">
        <v>156</v>
      </c>
      <c r="C12" s="18"/>
      <c r="D12" s="25"/>
      <c r="E12" s="19"/>
      <c r="F12" s="20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 t="s">
        <v>157</v>
      </c>
      <c r="C13" s="18"/>
      <c r="D13" s="25"/>
      <c r="E13" s="19"/>
      <c r="F13" s="20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8"/>
      <c r="D14" s="25"/>
      <c r="E14" s="19"/>
      <c r="F14" s="20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8"/>
      <c r="D15" s="25"/>
      <c r="E15" s="19"/>
      <c r="F15" s="20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8"/>
      <c r="D16" s="25"/>
      <c r="E16" s="19"/>
      <c r="F16" s="20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8"/>
      <c r="D17" s="25"/>
      <c r="E17" s="19"/>
      <c r="F17" s="20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8"/>
      <c r="D18" s="25"/>
      <c r="E18" s="19"/>
      <c r="F18" s="20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8"/>
      <c r="D19" s="25"/>
      <c r="E19" s="19"/>
      <c r="F19" s="20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8"/>
      <c r="D20" s="75" t="s">
        <v>218</v>
      </c>
      <c r="E20" s="73" t="s">
        <v>219</v>
      </c>
      <c r="F20" s="20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74" t="s">
        <v>217</v>
      </c>
      <c r="D21" s="25"/>
      <c r="E21" s="19"/>
      <c r="F21" s="20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74" t="s">
        <v>210</v>
      </c>
      <c r="D22" s="25"/>
      <c r="E22" s="19"/>
      <c r="F22" s="20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74" t="s">
        <v>183</v>
      </c>
      <c r="D23" s="25"/>
      <c r="E23" s="19"/>
      <c r="F23" s="20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1"/>
      <c r="D24" s="26"/>
      <c r="E24" s="22"/>
      <c r="F24" s="23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6" t="s">
        <v>124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6" t="str">
        <f>I41</f>
        <v>modulation[LoRa_receiveChannelParameters.dataRate]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39" t="s">
        <v>66</v>
      </c>
      <c r="J47" s="67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7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7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7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7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6" t="s">
        <v>213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6" t="s">
        <v>214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66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">
        <v>188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hyperlinks>
    <hyperlink ref="D20" location="LoRa_RxDone_DATA_OK!C1" display="LoRa_RxDone_OK_DATA" xr:uid="{A46084E1-7AE5-4B4E-A5C7-8BA5B12077C8}"/>
    <hyperlink ref="E20" location="LoRa_RxDone_DATA_Fail" display="LoRa_RxDone_Fail_DATA" xr:uid="{BBAA79F0-6E23-4D51-9085-62FC7DD1CF3A}"/>
    <hyperlink ref="C21" location="LoRa_TimerWaitAckCallback!C1" display="LoRa_TimerWaitAck_timeout" xr:uid="{E8DEC574-FEF3-4BA3-9C7D-3501E66E146F}"/>
    <hyperlink ref="C22" location="RADIO_WatchdogTimeout!C1" display="watchdogTimerId_timeout" xr:uid="{3135986A-BA9C-4CFE-A630-350A8DF2F494}"/>
    <hyperlink ref="C23" location="timeOnAirTimerId!C1" display="timeOnAirTimerId" xr:uid="{ADA08591-FEFE-47BA-B75B-5E429372B54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C3" t="str">
        <f>RADIO_RxDone_DATA!C3</f>
        <v>LoRa_transmitStatus</v>
      </c>
      <c r="D3" s="2" t="str">
        <f>I3</f>
        <v>LoRa_Sent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55" t="s">
        <v>108</v>
      </c>
      <c r="J3">
        <f>RADIO_RxDone_DATA!J3</f>
        <v>0</v>
      </c>
    </row>
    <row r="4" spans="2:10" x14ac:dyDescent="0.25">
      <c r="C4" t="str">
        <f>RADIO_RxDone_DATA!C4</f>
        <v>LoRa_StatusDanych</v>
      </c>
      <c r="D4" s="2" t="str">
        <f>I4</f>
        <v>LoRa_transmit_OK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55" t="s">
        <v>163</v>
      </c>
      <c r="J4">
        <f>RADIO_RxDone_DATA!J4</f>
        <v>0</v>
      </c>
    </row>
    <row r="5" spans="2:10" x14ac:dyDescent="0.25">
      <c r="C5" t="str">
        <f>RADIO_RxDone_DATA!C5</f>
        <v>flags</v>
      </c>
      <c r="D5" s="2" t="str">
        <f>I47</f>
        <v>1</v>
      </c>
      <c r="E5">
        <f>RADIO_RxDone_DATA!E5</f>
        <v>0</v>
      </c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/>
      <c r="C9" s="18"/>
      <c r="D9" s="35" t="s">
        <v>104</v>
      </c>
      <c r="E9" s="29" t="s">
        <v>105</v>
      </c>
      <c r="F9" s="30" t="s">
        <v>233</v>
      </c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s">
        <v>229</v>
      </c>
      <c r="C10" s="18"/>
      <c r="D10" s="25"/>
      <c r="E10" s="19"/>
      <c r="F10" s="20"/>
      <c r="G10" t="str">
        <f>RADIO_RxDone_DATA!G10</f>
        <v>uint8_t</v>
      </c>
      <c r="H10" t="str">
        <f>RADIO_RxDone_DATA!H10</f>
        <v>LoRa_TimerWaitAck</v>
      </c>
      <c r="I10" s="65" t="s">
        <v>66</v>
      </c>
      <c r="J10" t="str">
        <f>RADIO_RxDone_DATA!J10</f>
        <v>LoRa_TimerWaitAckCallback</v>
      </c>
    </row>
    <row r="11" spans="2:10" x14ac:dyDescent="0.25">
      <c r="B11" t="s">
        <v>230</v>
      </c>
      <c r="C11" s="18"/>
      <c r="D11" s="25"/>
      <c r="E11" s="19"/>
      <c r="F11" s="20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s">
        <v>237</v>
      </c>
      <c r="C12" s="42" t="s">
        <v>242</v>
      </c>
      <c r="D12" s="43" t="s">
        <v>7</v>
      </c>
      <c r="E12" s="46" t="s">
        <v>8</v>
      </c>
      <c r="F12" s="48" t="s">
        <v>239</v>
      </c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s">
        <v>232</v>
      </c>
      <c r="C13" s="51" t="s">
        <v>0</v>
      </c>
      <c r="D13" s="52" t="s">
        <v>26</v>
      </c>
      <c r="E13" s="53" t="s">
        <v>27</v>
      </c>
      <c r="F13" s="54" t="s">
        <v>234</v>
      </c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s">
        <v>231</v>
      </c>
      <c r="C14" s="62" t="s">
        <v>148</v>
      </c>
      <c r="D14" s="63">
        <v>4</v>
      </c>
      <c r="E14" s="19"/>
      <c r="F14" s="64" t="s">
        <v>224</v>
      </c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s">
        <v>243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41" t="s">
        <v>158</v>
      </c>
      <c r="J15">
        <f>RADIO_RxDone_DATA!J15</f>
        <v>0</v>
      </c>
    </row>
    <row r="16" spans="2:10" x14ac:dyDescent="0.25"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3:10" x14ac:dyDescent="0.25"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3:10" x14ac:dyDescent="0.25"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3:10" x14ac:dyDescent="0.25"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3:10" x14ac:dyDescent="0.25">
      <c r="C20" s="18"/>
      <c r="D20" s="75" t="s">
        <v>196</v>
      </c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3:10" x14ac:dyDescent="0.25">
      <c r="C21" s="74" t="s">
        <v>217</v>
      </c>
      <c r="D21" s="25"/>
      <c r="E21" s="73" t="s">
        <v>226</v>
      </c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3:10" x14ac:dyDescent="0.25">
      <c r="C22" s="74" t="s">
        <v>210</v>
      </c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3:10" x14ac:dyDescent="0.25">
      <c r="C23" s="74" t="s">
        <v>183</v>
      </c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3:10" x14ac:dyDescent="0.25"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3:10" x14ac:dyDescent="0.25">
      <c r="C25" t="str">
        <f>RADIO_RxDone_DATA!C25</f>
        <v>DATA</v>
      </c>
      <c r="D25" s="55" t="str">
        <f>I11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3:10" x14ac:dyDescent="0.25">
      <c r="C26" t="str">
        <f>RADIO_RxDone_DATA!C26</f>
        <v>mode</v>
      </c>
      <c r="D26" s="55" t="s">
        <v>149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3:10" x14ac:dyDescent="0.25">
      <c r="C27" t="str">
        <f>RADIO_RxDone_DATA!C27</f>
        <v>modulation</v>
      </c>
      <c r="D27" s="55" t="str">
        <f>I41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3:10" x14ac:dyDescent="0.25">
      <c r="C28" t="str">
        <f>RADIO_RxDone_DATA!C28</f>
        <v>frequency</v>
      </c>
      <c r="D28" s="60" t="str">
        <f>I34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3:10" x14ac:dyDescent="0.25">
      <c r="C29" t="str">
        <f>RADIO_RxDone_DATA!C29</f>
        <v>payload</v>
      </c>
      <c r="D29" s="55" t="str">
        <f>I12</f>
        <v>bufferHeadIndex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3:10" x14ac:dyDescent="0.25">
      <c r="C30" t="str">
        <f>RADIO_RxDone_DATA!C30</f>
        <v>power</v>
      </c>
      <c r="D30" s="60" t="str">
        <f>I44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3:10" x14ac:dyDescent="0.25">
      <c r="C31" t="str">
        <f>RADIO_RxDone_DATA!C31</f>
        <v>SpreadingFactor</v>
      </c>
      <c r="D31" s="60" t="str">
        <f>I42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3:10" x14ac:dyDescent="0.25">
      <c r="C32" t="str">
        <f>RADIO_RxDone_DATA!C32</f>
        <v>Bandwidth</v>
      </c>
      <c r="D32" s="60" t="str">
        <f>I43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3:11" x14ac:dyDescent="0.25">
      <c r="C33" t="str">
        <f>RADIO_RxDone_DATA!C33</f>
        <v>SyncWord</v>
      </c>
      <c r="D33" s="60" t="str">
        <f>I38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3:11" x14ac:dyDescent="0.25">
      <c r="C34" t="str">
        <f>RADIO_RxDone_DATA!C34</f>
        <v>CRC</v>
      </c>
      <c r="D34" s="60" t="str">
        <f>I45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3:11" x14ac:dyDescent="0.25">
      <c r="C35" t="str">
        <f>RADIO_RxDone_DATA!C35</f>
        <v>IQInverted</v>
      </c>
      <c r="D35" s="60" t="str">
        <f>I49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3:11" x14ac:dyDescent="0.25">
      <c r="C36" t="str">
        <f>RADIO_RxDone_DATA!C36</f>
        <v>HopPeriod</v>
      </c>
      <c r="D36" s="60" t="str">
        <f>I48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3:11" x14ac:dyDescent="0.25">
      <c r="C37" t="str">
        <f>RADIO_RxDone_DATA!C37</f>
        <v>errorCodingRate</v>
      </c>
      <c r="D37" s="60" t="str">
        <f>I50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3:11" x14ac:dyDescent="0.25">
      <c r="C38" t="str">
        <f>RADIO_RxDone_DATA!C38</f>
        <v>implicitHeaderMode</v>
      </c>
      <c r="D38" s="60" t="str">
        <f>I51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3:11" x14ac:dyDescent="0.25">
      <c r="C39" t="str">
        <f>RADIO_RxDone_DATA!C39</f>
        <v>preambleLen</v>
      </c>
      <c r="D39" s="60">
        <f>I37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3:11" x14ac:dyDescent="0.25">
      <c r="C40" t="str">
        <f>RADIO_RxDone_DATA!C40</f>
        <v>symbolTimeout</v>
      </c>
      <c r="D40" s="60"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3:11" x14ac:dyDescent="0.25">
      <c r="C41" t="str">
        <f>RADIO_RxDone_DATA!C41</f>
        <v>FSKfreqDeviation</v>
      </c>
      <c r="D41" s="60">
        <f>I35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3:11" x14ac:dyDescent="0.25">
      <c r="C42" t="str">
        <f>RADIO_RxDone_DATA!C42</f>
        <v>FSKBitRate</v>
      </c>
      <c r="D42" s="60">
        <f>I36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3:11" x14ac:dyDescent="0.25">
      <c r="C43" t="str">
        <f>RADIO_RxDone_DATA!C43</f>
        <v>FSK_PREAMBLE</v>
      </c>
      <c r="D43" s="60">
        <f>I37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3:11" x14ac:dyDescent="0.25">
      <c r="C44" t="str">
        <f>RADIO_RxDone_DATA!C44</f>
        <v>fskDataShaping</v>
      </c>
      <c r="D44" s="60" t="str">
        <f>I63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3:11" x14ac:dyDescent="0.25"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3:11" x14ac:dyDescent="0.25"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3:11" x14ac:dyDescent="0.25"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65" t="s">
        <v>225</v>
      </c>
      <c r="J47" s="67" t="s">
        <v>152</v>
      </c>
      <c r="K47" s="68" t="s">
        <v>152</v>
      </c>
    </row>
    <row r="48" spans="3:11" x14ac:dyDescent="0.25"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K48" s="68" t="s">
        <v>154</v>
      </c>
    </row>
    <row r="49" spans="3:11" x14ac:dyDescent="0.25"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K49" s="68" t="s">
        <v>221</v>
      </c>
    </row>
    <row r="50" spans="3:11" x14ac:dyDescent="0.25"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 s="67"/>
    </row>
    <row r="51" spans="3:11" x14ac:dyDescent="0.25"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 s="67"/>
    </row>
    <row r="52" spans="3:11" x14ac:dyDescent="0.25"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3:11" x14ac:dyDescent="0.25"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3:11" x14ac:dyDescent="0.25"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3:11" x14ac:dyDescent="0.25"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65" t="s">
        <v>66</v>
      </c>
      <c r="J55">
        <f>RADIO_RxDone_DATA!J55</f>
        <v>0</v>
      </c>
    </row>
    <row r="56" spans="3:11" x14ac:dyDescent="0.25"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3:11" x14ac:dyDescent="0.25"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65" t="s">
        <v>66</v>
      </c>
      <c r="J57" t="str">
        <f>RADIO_RxDone_DATA!J57</f>
        <v>RADIO_WatchdogTimeout</v>
      </c>
    </row>
    <row r="58" spans="3:11" x14ac:dyDescent="0.25"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3:11" x14ac:dyDescent="0.25"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3:11" x14ac:dyDescent="0.25"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3:11" x14ac:dyDescent="0.25"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3:11" x14ac:dyDescent="0.25"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packetSNR</v>
      </c>
      <c r="J62">
        <f>RADIO_RxDone_DATA!J62</f>
        <v>0</v>
      </c>
    </row>
    <row r="63" spans="3:11" x14ac:dyDescent="0.25"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3:11" x14ac:dyDescent="0.25"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3:10" x14ac:dyDescent="0.25"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3:10" x14ac:dyDescent="0.25"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3:10" x14ac:dyDescent="0.25"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3:10" x14ac:dyDescent="0.25"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3:10" x14ac:dyDescent="0.25"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3:10" x14ac:dyDescent="0.25"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3:10" x14ac:dyDescent="0.25"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3:10" x14ac:dyDescent="0.25"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3:10" x14ac:dyDescent="0.25"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3:10" x14ac:dyDescent="0.25"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3:10" x14ac:dyDescent="0.25"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3:10" x14ac:dyDescent="0.25"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3:10" x14ac:dyDescent="0.25"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main" xr:uid="{DF5E1A59-6A96-47EE-B81F-8C2D1BE9CFE4}"/>
    <hyperlink ref="E21" location="LoRa_RxDone_DATA_OK!e21" display="LoRa_Send_problem" xr:uid="{1148478F-2061-4C8C-9D59-000702E19F58}"/>
    <hyperlink ref="C21" location="LoRa_TimerWaitAckCallback!C1" display="LoRa_TimerWaitAck_timeout" xr:uid="{BEA1722E-84E8-4B7A-A8F1-39F2EEA66593}"/>
    <hyperlink ref="C22" location="RADIO_WatchdogTimeout!C1" display="watchdogTimerId_timeout" xr:uid="{A5A20022-7DF7-42EC-8D62-BF073DA1E937}"/>
    <hyperlink ref="C23" location="timeOnAirTimerId!C1" display="timeOnAirTimerId" xr:uid="{156E7FB4-9C78-418E-8D46-792F26939FD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rkusz14.fill_in_RADIO_RxDone_DATA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LoRa_RxDone_OK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8"/>
      <c r="D9" s="25"/>
      <c r="E9" s="19"/>
      <c r="F9" s="20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8"/>
      <c r="D10" s="25"/>
      <c r="E10" s="19"/>
      <c r="F10" s="20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0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8"/>
      <c r="D11" s="25"/>
      <c r="E11" s="19"/>
      <c r="F11" s="20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8"/>
      <c r="D12" s="25"/>
      <c r="E12" s="19"/>
      <c r="F12" s="20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8"/>
      <c r="D13" s="25"/>
      <c r="E13" s="19"/>
      <c r="F13" s="20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8"/>
      <c r="D14" s="25"/>
      <c r="E14" s="19"/>
      <c r="F14" s="20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8"/>
      <c r="D20" s="25"/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8"/>
      <c r="D21" s="25"/>
      <c r="E21" s="19"/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8"/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8"/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0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16</vt:i4>
      </vt:variant>
    </vt:vector>
  </HeadingPairs>
  <TitlesOfParts>
    <vt:vector size="16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LoRa_TimerWaitAckCallback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2019-12-08T10:29:42Z</dcterms:modified>
</cp:coreProperties>
</file>