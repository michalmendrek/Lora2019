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0C498536-D314-40C6-AA1F-FC8864D6427C}" xr6:coauthVersionLast="45" xr6:coauthVersionMax="45" xr10:uidLastSave="{00000000-0000-0000-0000-000000000000}"/>
  <bookViews>
    <workbookView xWindow="-109" yWindow="-109" windowWidth="26301" windowHeight="14305" firstSheet="8" activeTab="11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31" l="1"/>
  <c r="D41" i="31"/>
  <c r="D44" i="31"/>
  <c r="D42" i="31"/>
  <c r="D43" i="31"/>
  <c r="D39" i="31"/>
  <c r="D35" i="31"/>
  <c r="D36" i="31"/>
  <c r="D34" i="31"/>
  <c r="D31" i="31"/>
  <c r="D38" i="31"/>
  <c r="D37" i="31"/>
  <c r="D32" i="31"/>
  <c r="D33" i="31"/>
  <c r="D30" i="31"/>
  <c r="D28" i="31"/>
  <c r="D5" i="31"/>
  <c r="D4" i="31"/>
  <c r="D3" i="31"/>
  <c r="C4" i="31"/>
  <c r="E4" i="31"/>
  <c r="F4" i="31"/>
  <c r="G4" i="31"/>
  <c r="H4" i="31"/>
  <c r="I4" i="31"/>
  <c r="J4" i="31"/>
  <c r="C5" i="31"/>
  <c r="E5" i="31"/>
  <c r="F5" i="31"/>
  <c r="G5" i="31"/>
  <c r="H5" i="31"/>
  <c r="I5" i="31"/>
  <c r="J5" i="31"/>
  <c r="C6" i="31"/>
  <c r="D6" i="31"/>
  <c r="E6" i="31"/>
  <c r="F6" i="31"/>
  <c r="G6" i="31"/>
  <c r="H6" i="31"/>
  <c r="I6" i="31"/>
  <c r="J6" i="31"/>
  <c r="G7" i="31"/>
  <c r="H7" i="31"/>
  <c r="I7" i="31"/>
  <c r="J7" i="31"/>
  <c r="G8" i="31"/>
  <c r="H8" i="31"/>
  <c r="I8" i="31"/>
  <c r="J8" i="31"/>
  <c r="G9" i="31"/>
  <c r="H9" i="31"/>
  <c r="I9" i="31"/>
  <c r="J9" i="31"/>
  <c r="G10" i="31"/>
  <c r="H10" i="31"/>
  <c r="I10" i="31"/>
  <c r="J10" i="31"/>
  <c r="G11" i="31"/>
  <c r="H11" i="31"/>
  <c r="I11" i="31"/>
  <c r="J11" i="31"/>
  <c r="G12" i="31"/>
  <c r="H12" i="31"/>
  <c r="I12" i="31"/>
  <c r="J12" i="31"/>
  <c r="G13" i="31"/>
  <c r="H13" i="31"/>
  <c r="I13" i="31"/>
  <c r="J13" i="31"/>
  <c r="G14" i="31"/>
  <c r="H14" i="31"/>
  <c r="I14" i="31"/>
  <c r="J14" i="31"/>
  <c r="G15" i="31"/>
  <c r="H15" i="31"/>
  <c r="I15" i="31"/>
  <c r="J15" i="31"/>
  <c r="G16" i="31"/>
  <c r="H16" i="31"/>
  <c r="I16" i="31"/>
  <c r="J16" i="31"/>
  <c r="G17" i="31"/>
  <c r="H17" i="31"/>
  <c r="I17" i="31"/>
  <c r="J17" i="31"/>
  <c r="G18" i="31"/>
  <c r="H18" i="31"/>
  <c r="I18" i="31"/>
  <c r="J18" i="31"/>
  <c r="G19" i="31"/>
  <c r="H19" i="31"/>
  <c r="I19" i="31"/>
  <c r="J19" i="31"/>
  <c r="G20" i="31"/>
  <c r="H20" i="31"/>
  <c r="I20" i="31"/>
  <c r="J20" i="31"/>
  <c r="G21" i="31"/>
  <c r="H21" i="31"/>
  <c r="I21" i="31"/>
  <c r="J21" i="31"/>
  <c r="G22" i="31"/>
  <c r="H22" i="31"/>
  <c r="I22" i="31"/>
  <c r="J22" i="31"/>
  <c r="G23" i="31"/>
  <c r="H23" i="31"/>
  <c r="I23" i="31"/>
  <c r="J23" i="31"/>
  <c r="G24" i="31"/>
  <c r="H24" i="31"/>
  <c r="I24" i="31"/>
  <c r="J24" i="31"/>
  <c r="C25" i="31"/>
  <c r="D25" i="31"/>
  <c r="E25" i="31"/>
  <c r="F25" i="31"/>
  <c r="G25" i="31"/>
  <c r="H25" i="31"/>
  <c r="I25" i="31"/>
  <c r="J25" i="31"/>
  <c r="C26" i="31"/>
  <c r="E26" i="31"/>
  <c r="F26" i="31"/>
  <c r="G26" i="31"/>
  <c r="H26" i="31"/>
  <c r="I26" i="31"/>
  <c r="J26" i="31"/>
  <c r="C27" i="31"/>
  <c r="E27" i="31"/>
  <c r="F27" i="31"/>
  <c r="G27" i="31"/>
  <c r="H27" i="31"/>
  <c r="I27" i="31"/>
  <c r="J27" i="31"/>
  <c r="C28" i="31"/>
  <c r="E28" i="31"/>
  <c r="F28" i="31"/>
  <c r="G28" i="31"/>
  <c r="H28" i="31"/>
  <c r="I28" i="31"/>
  <c r="J28" i="31"/>
  <c r="C29" i="31"/>
  <c r="E29" i="31"/>
  <c r="F29" i="31"/>
  <c r="G29" i="31"/>
  <c r="H29" i="31"/>
  <c r="I29" i="31"/>
  <c r="J29" i="31"/>
  <c r="C30" i="31"/>
  <c r="E30" i="31"/>
  <c r="F30" i="31"/>
  <c r="G30" i="31"/>
  <c r="H30" i="31"/>
  <c r="I30" i="31"/>
  <c r="J30" i="31"/>
  <c r="C31" i="31"/>
  <c r="E31" i="31"/>
  <c r="F31" i="31"/>
  <c r="G31" i="31"/>
  <c r="H31" i="31"/>
  <c r="I31" i="31"/>
  <c r="J31" i="31"/>
  <c r="C32" i="31"/>
  <c r="E32" i="31"/>
  <c r="F32" i="31"/>
  <c r="G32" i="31"/>
  <c r="H32" i="31"/>
  <c r="I32" i="31"/>
  <c r="J32" i="31"/>
  <c r="C33" i="31"/>
  <c r="E33" i="31"/>
  <c r="F33" i="31"/>
  <c r="G33" i="31"/>
  <c r="H33" i="31"/>
  <c r="I33" i="31"/>
  <c r="J33" i="31"/>
  <c r="C34" i="31"/>
  <c r="E34" i="31"/>
  <c r="F34" i="31"/>
  <c r="G34" i="31"/>
  <c r="H34" i="31"/>
  <c r="J34" i="31"/>
  <c r="C35" i="31"/>
  <c r="E35" i="31"/>
  <c r="F35" i="31"/>
  <c r="G35" i="31"/>
  <c r="H35" i="31"/>
  <c r="I35" i="31"/>
  <c r="J35" i="31"/>
  <c r="C36" i="31"/>
  <c r="E36" i="31"/>
  <c r="F36" i="31"/>
  <c r="G36" i="31"/>
  <c r="H36" i="31"/>
  <c r="I36" i="31"/>
  <c r="J36" i="31"/>
  <c r="C37" i="31"/>
  <c r="E37" i="31"/>
  <c r="F37" i="31"/>
  <c r="G37" i="31"/>
  <c r="H37" i="31"/>
  <c r="I37" i="31"/>
  <c r="J37" i="31"/>
  <c r="C38" i="31"/>
  <c r="E38" i="31"/>
  <c r="F38" i="31"/>
  <c r="G38" i="31"/>
  <c r="H38" i="31"/>
  <c r="J38" i="31"/>
  <c r="C39" i="31"/>
  <c r="E39" i="31"/>
  <c r="F39" i="31"/>
  <c r="G39" i="31"/>
  <c r="H39" i="31"/>
  <c r="I39" i="31"/>
  <c r="J39" i="31"/>
  <c r="C40" i="31"/>
  <c r="E40" i="31"/>
  <c r="F40" i="31"/>
  <c r="G40" i="31"/>
  <c r="H40" i="31"/>
  <c r="I40" i="31"/>
  <c r="J40" i="31"/>
  <c r="C41" i="31"/>
  <c r="E41" i="31"/>
  <c r="F41" i="31"/>
  <c r="G41" i="31"/>
  <c r="H41" i="31"/>
  <c r="J41" i="31"/>
  <c r="C42" i="31"/>
  <c r="E42" i="31"/>
  <c r="F42" i="31"/>
  <c r="G42" i="31"/>
  <c r="H42" i="31"/>
  <c r="J42" i="31"/>
  <c r="C43" i="31"/>
  <c r="E43" i="31"/>
  <c r="F43" i="31"/>
  <c r="G43" i="31"/>
  <c r="H43" i="31"/>
  <c r="J43" i="31"/>
  <c r="C44" i="31"/>
  <c r="E44" i="31"/>
  <c r="F44" i="31"/>
  <c r="G44" i="31"/>
  <c r="H44" i="31"/>
  <c r="I44" i="31"/>
  <c r="J44" i="31"/>
  <c r="C45" i="31"/>
  <c r="D45" i="31"/>
  <c r="E45" i="31"/>
  <c r="F45" i="31"/>
  <c r="G45" i="31"/>
  <c r="H45" i="31"/>
  <c r="J45" i="31"/>
  <c r="C46" i="31"/>
  <c r="D46" i="31"/>
  <c r="E46" i="31"/>
  <c r="F46" i="31"/>
  <c r="G46" i="31"/>
  <c r="H46" i="31"/>
  <c r="I46" i="31"/>
  <c r="J46" i="31"/>
  <c r="C47" i="31"/>
  <c r="D47" i="31"/>
  <c r="E47" i="31"/>
  <c r="F47" i="31"/>
  <c r="G47" i="31"/>
  <c r="H47" i="31"/>
  <c r="J47" i="31"/>
  <c r="C48" i="31"/>
  <c r="D48" i="31"/>
  <c r="E48" i="31"/>
  <c r="F48" i="31"/>
  <c r="G48" i="31"/>
  <c r="H48" i="31"/>
  <c r="J48" i="31"/>
  <c r="C49" i="31"/>
  <c r="D49" i="31"/>
  <c r="E49" i="31"/>
  <c r="F49" i="31"/>
  <c r="G49" i="31"/>
  <c r="H49" i="31"/>
  <c r="J49" i="31"/>
  <c r="C50" i="31"/>
  <c r="D50" i="31"/>
  <c r="E50" i="31"/>
  <c r="F50" i="31"/>
  <c r="G50" i="31"/>
  <c r="H50" i="31"/>
  <c r="I50" i="31"/>
  <c r="J50" i="31"/>
  <c r="C51" i="31"/>
  <c r="D51" i="31"/>
  <c r="E51" i="31"/>
  <c r="F51" i="31"/>
  <c r="G51" i="31"/>
  <c r="H51" i="31"/>
  <c r="I51" i="31"/>
  <c r="J51" i="31"/>
  <c r="C52" i="31"/>
  <c r="D52" i="31"/>
  <c r="E52" i="31"/>
  <c r="F52" i="31"/>
  <c r="G52" i="31"/>
  <c r="H52" i="31"/>
  <c r="I52" i="31"/>
  <c r="J52" i="31"/>
  <c r="C53" i="31"/>
  <c r="D53" i="31"/>
  <c r="E53" i="31"/>
  <c r="F53" i="31"/>
  <c r="G53" i="31"/>
  <c r="H53" i="31"/>
  <c r="I53" i="31"/>
  <c r="J53" i="31"/>
  <c r="C54" i="31"/>
  <c r="D54" i="31"/>
  <c r="E54" i="31"/>
  <c r="F54" i="31"/>
  <c r="G54" i="31"/>
  <c r="H54" i="31"/>
  <c r="I54" i="31"/>
  <c r="J54" i="31"/>
  <c r="C55" i="31"/>
  <c r="D55" i="31"/>
  <c r="E55" i="31"/>
  <c r="F55" i="31"/>
  <c r="G55" i="31"/>
  <c r="H55" i="31"/>
  <c r="I55" i="31"/>
  <c r="J55" i="31"/>
  <c r="C56" i="31"/>
  <c r="D56" i="31"/>
  <c r="E56" i="31"/>
  <c r="F56" i="31"/>
  <c r="G56" i="31"/>
  <c r="H56" i="31"/>
  <c r="I56" i="31"/>
  <c r="J56" i="31"/>
  <c r="C57" i="31"/>
  <c r="D57" i="31"/>
  <c r="E57" i="31"/>
  <c r="F57" i="31"/>
  <c r="G57" i="31"/>
  <c r="H57" i="31"/>
  <c r="J57" i="31"/>
  <c r="C58" i="31"/>
  <c r="D58" i="31"/>
  <c r="E58" i="31"/>
  <c r="F58" i="31"/>
  <c r="G58" i="31"/>
  <c r="H58" i="31"/>
  <c r="I58" i="31"/>
  <c r="J58" i="31"/>
  <c r="C59" i="31"/>
  <c r="D59" i="31"/>
  <c r="E59" i="31"/>
  <c r="F59" i="31"/>
  <c r="G59" i="31"/>
  <c r="H59" i="31"/>
  <c r="I59" i="31"/>
  <c r="J59" i="31"/>
  <c r="C60" i="31"/>
  <c r="D60" i="31"/>
  <c r="E60" i="31"/>
  <c r="F60" i="31"/>
  <c r="G60" i="31"/>
  <c r="H60" i="31"/>
  <c r="I60" i="31"/>
  <c r="J60" i="31"/>
  <c r="C61" i="31"/>
  <c r="D61" i="31"/>
  <c r="E61" i="31"/>
  <c r="F61" i="31"/>
  <c r="G61" i="31"/>
  <c r="H61" i="31"/>
  <c r="I61" i="31"/>
  <c r="J61" i="31"/>
  <c r="C62" i="31"/>
  <c r="D62" i="31"/>
  <c r="E62" i="31"/>
  <c r="F62" i="31"/>
  <c r="G62" i="31"/>
  <c r="H62" i="31"/>
  <c r="I62" i="31"/>
  <c r="J62" i="31"/>
  <c r="C63" i="31"/>
  <c r="D63" i="31"/>
  <c r="E63" i="31"/>
  <c r="F63" i="31"/>
  <c r="G63" i="31"/>
  <c r="H63" i="31"/>
  <c r="I63" i="31"/>
  <c r="J63" i="31"/>
  <c r="C64" i="31"/>
  <c r="D64" i="31"/>
  <c r="E64" i="31"/>
  <c r="F64" i="31"/>
  <c r="G64" i="31"/>
  <c r="H64" i="31"/>
  <c r="I64" i="31"/>
  <c r="J64" i="31"/>
  <c r="C65" i="31"/>
  <c r="D65" i="31"/>
  <c r="E65" i="31"/>
  <c r="F65" i="31"/>
  <c r="G65" i="31"/>
  <c r="H65" i="31"/>
  <c r="I65" i="31"/>
  <c r="J65" i="31"/>
  <c r="C66" i="31"/>
  <c r="D66" i="31"/>
  <c r="E66" i="31"/>
  <c r="F66" i="31"/>
  <c r="G66" i="31"/>
  <c r="H66" i="31"/>
  <c r="I66" i="31"/>
  <c r="J66" i="31"/>
  <c r="C67" i="31"/>
  <c r="D67" i="31"/>
  <c r="E67" i="31"/>
  <c r="F67" i="31"/>
  <c r="G67" i="31"/>
  <c r="H67" i="31"/>
  <c r="I67" i="31"/>
  <c r="J67" i="31"/>
  <c r="C68" i="31"/>
  <c r="D68" i="31"/>
  <c r="E68" i="31"/>
  <c r="F68" i="31"/>
  <c r="G68" i="31"/>
  <c r="H68" i="31"/>
  <c r="I68" i="31"/>
  <c r="J68" i="31"/>
  <c r="C69" i="31"/>
  <c r="D69" i="31"/>
  <c r="E69" i="31"/>
  <c r="F69" i="31"/>
  <c r="G69" i="31"/>
  <c r="H69" i="31"/>
  <c r="I69" i="31"/>
  <c r="J69" i="31"/>
  <c r="C70" i="31"/>
  <c r="D70" i="31"/>
  <c r="E70" i="31"/>
  <c r="F70" i="31"/>
  <c r="G70" i="31"/>
  <c r="H70" i="31"/>
  <c r="I70" i="31"/>
  <c r="J70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E3" i="31"/>
  <c r="F3" i="31"/>
  <c r="G3" i="31"/>
  <c r="H3" i="31"/>
  <c r="J3" i="31"/>
  <c r="C3" i="31"/>
  <c r="I57" i="29"/>
  <c r="D27" i="29"/>
  <c r="D25" i="29"/>
  <c r="D29" i="29"/>
  <c r="D41" i="29"/>
  <c r="D44" i="29"/>
  <c r="D42" i="29"/>
  <c r="D43" i="29"/>
  <c r="D39" i="29"/>
  <c r="D35" i="29"/>
  <c r="D36" i="29"/>
  <c r="D34" i="29"/>
  <c r="D31" i="29"/>
  <c r="D38" i="29"/>
  <c r="D37" i="29"/>
  <c r="D32" i="29"/>
  <c r="D33" i="29"/>
  <c r="D30" i="29"/>
  <c r="D28" i="29"/>
  <c r="D27" i="28"/>
  <c r="D27" i="30" s="1"/>
  <c r="D4" i="30"/>
  <c r="D3" i="30"/>
  <c r="C4" i="30"/>
  <c r="E4" i="30"/>
  <c r="F4" i="30"/>
  <c r="G4" i="30"/>
  <c r="H4" i="30"/>
  <c r="I4" i="30"/>
  <c r="J4" i="30"/>
  <c r="C5" i="30"/>
  <c r="E5" i="30"/>
  <c r="F5" i="30"/>
  <c r="G5" i="30"/>
  <c r="H5" i="30"/>
  <c r="I5" i="30"/>
  <c r="J5" i="30"/>
  <c r="C6" i="30"/>
  <c r="D6" i="30"/>
  <c r="E6" i="30"/>
  <c r="F6" i="30"/>
  <c r="G6" i="30"/>
  <c r="H6" i="30"/>
  <c r="I6" i="30"/>
  <c r="J6" i="30"/>
  <c r="G7" i="30"/>
  <c r="H7" i="30"/>
  <c r="I7" i="30"/>
  <c r="J7" i="30"/>
  <c r="G8" i="30"/>
  <c r="H8" i="30"/>
  <c r="I8" i="30"/>
  <c r="J8" i="30"/>
  <c r="G9" i="30"/>
  <c r="H9" i="30"/>
  <c r="I9" i="30"/>
  <c r="J9" i="30"/>
  <c r="G10" i="30"/>
  <c r="H10" i="30"/>
  <c r="I10" i="30"/>
  <c r="J10" i="30"/>
  <c r="G11" i="30"/>
  <c r="H11" i="30"/>
  <c r="I11" i="30"/>
  <c r="J11" i="30"/>
  <c r="G12" i="30"/>
  <c r="H12" i="30"/>
  <c r="I12" i="30"/>
  <c r="J12" i="30"/>
  <c r="G13" i="30"/>
  <c r="H13" i="30"/>
  <c r="I13" i="30"/>
  <c r="J13" i="30"/>
  <c r="G14" i="30"/>
  <c r="H14" i="30"/>
  <c r="I14" i="30"/>
  <c r="J14" i="30"/>
  <c r="G15" i="30"/>
  <c r="H15" i="30"/>
  <c r="I15" i="30"/>
  <c r="J15" i="30"/>
  <c r="G16" i="30"/>
  <c r="H16" i="30"/>
  <c r="I16" i="30"/>
  <c r="J16" i="30"/>
  <c r="G17" i="30"/>
  <c r="H17" i="30"/>
  <c r="I17" i="30"/>
  <c r="J17" i="30"/>
  <c r="G18" i="30"/>
  <c r="H18" i="30"/>
  <c r="I18" i="30"/>
  <c r="J18" i="30"/>
  <c r="G19" i="30"/>
  <c r="H19" i="30"/>
  <c r="I19" i="30"/>
  <c r="J19" i="30"/>
  <c r="G20" i="30"/>
  <c r="H20" i="30"/>
  <c r="I20" i="30"/>
  <c r="J20" i="30"/>
  <c r="G21" i="30"/>
  <c r="H21" i="30"/>
  <c r="I21" i="30"/>
  <c r="J21" i="30"/>
  <c r="G22" i="30"/>
  <c r="H22" i="30"/>
  <c r="I22" i="30"/>
  <c r="J22" i="30"/>
  <c r="G23" i="30"/>
  <c r="H23" i="30"/>
  <c r="I23" i="30"/>
  <c r="J23" i="30"/>
  <c r="G24" i="30"/>
  <c r="H24" i="30"/>
  <c r="I24" i="30"/>
  <c r="J24" i="30"/>
  <c r="C25" i="30"/>
  <c r="D25" i="30"/>
  <c r="E25" i="30"/>
  <c r="F25" i="30"/>
  <c r="G25" i="30"/>
  <c r="H25" i="30"/>
  <c r="I25" i="30"/>
  <c r="J25" i="30"/>
  <c r="C26" i="30"/>
  <c r="D26" i="30"/>
  <c r="E26" i="30"/>
  <c r="F26" i="30"/>
  <c r="G26" i="30"/>
  <c r="H26" i="30"/>
  <c r="I26" i="30"/>
  <c r="J26" i="30"/>
  <c r="C27" i="30"/>
  <c r="E27" i="30"/>
  <c r="F27" i="30"/>
  <c r="G27" i="30"/>
  <c r="H27" i="30"/>
  <c r="I27" i="30"/>
  <c r="J27" i="30"/>
  <c r="C28" i="30"/>
  <c r="D28" i="30"/>
  <c r="E28" i="30"/>
  <c r="F28" i="30"/>
  <c r="G28" i="30"/>
  <c r="H28" i="30"/>
  <c r="I28" i="30"/>
  <c r="J28" i="30"/>
  <c r="C29" i="30"/>
  <c r="D29" i="30"/>
  <c r="E29" i="30"/>
  <c r="F29" i="30"/>
  <c r="G29" i="30"/>
  <c r="H29" i="30"/>
  <c r="I29" i="30"/>
  <c r="J29" i="30"/>
  <c r="C30" i="30"/>
  <c r="D30" i="30"/>
  <c r="E30" i="30"/>
  <c r="F30" i="30"/>
  <c r="G30" i="30"/>
  <c r="H30" i="30"/>
  <c r="I30" i="30"/>
  <c r="J30" i="30"/>
  <c r="C31" i="30"/>
  <c r="D31" i="30"/>
  <c r="E31" i="30"/>
  <c r="F31" i="30"/>
  <c r="G31" i="30"/>
  <c r="H31" i="30"/>
  <c r="I31" i="30"/>
  <c r="J31" i="30"/>
  <c r="C32" i="30"/>
  <c r="D32" i="30"/>
  <c r="E32" i="30"/>
  <c r="F32" i="30"/>
  <c r="G32" i="30"/>
  <c r="H32" i="30"/>
  <c r="I32" i="30"/>
  <c r="J32" i="30"/>
  <c r="C33" i="30"/>
  <c r="D33" i="30"/>
  <c r="E33" i="30"/>
  <c r="F33" i="30"/>
  <c r="G33" i="30"/>
  <c r="H33" i="30"/>
  <c r="I33" i="30"/>
  <c r="J33" i="30"/>
  <c r="C34" i="30"/>
  <c r="D34" i="30"/>
  <c r="E34" i="30"/>
  <c r="F34" i="30"/>
  <c r="G34" i="30"/>
  <c r="H34" i="30"/>
  <c r="I34" i="30"/>
  <c r="J34" i="30"/>
  <c r="C35" i="30"/>
  <c r="D35" i="30"/>
  <c r="E35" i="30"/>
  <c r="F35" i="30"/>
  <c r="G35" i="30"/>
  <c r="H35" i="30"/>
  <c r="I35" i="30"/>
  <c r="J35" i="30"/>
  <c r="C36" i="30"/>
  <c r="D36" i="30"/>
  <c r="E36" i="30"/>
  <c r="F36" i="30"/>
  <c r="G36" i="30"/>
  <c r="H36" i="30"/>
  <c r="I36" i="30"/>
  <c r="J36" i="30"/>
  <c r="C37" i="30"/>
  <c r="D37" i="30"/>
  <c r="E37" i="30"/>
  <c r="F37" i="30"/>
  <c r="G37" i="30"/>
  <c r="H37" i="30"/>
  <c r="I37" i="30"/>
  <c r="J37" i="30"/>
  <c r="C38" i="30"/>
  <c r="D38" i="30"/>
  <c r="E38" i="30"/>
  <c r="F38" i="30"/>
  <c r="G38" i="30"/>
  <c r="H38" i="30"/>
  <c r="I38" i="30"/>
  <c r="J38" i="30"/>
  <c r="C39" i="30"/>
  <c r="D39" i="30"/>
  <c r="E39" i="30"/>
  <c r="F39" i="30"/>
  <c r="G39" i="30"/>
  <c r="H39" i="30"/>
  <c r="I39" i="30"/>
  <c r="J39" i="30"/>
  <c r="C40" i="30"/>
  <c r="D40" i="30"/>
  <c r="E40" i="30"/>
  <c r="F40" i="30"/>
  <c r="G40" i="30"/>
  <c r="H40" i="30"/>
  <c r="I40" i="30"/>
  <c r="J40" i="30"/>
  <c r="C41" i="30"/>
  <c r="D41" i="30"/>
  <c r="E41" i="30"/>
  <c r="F41" i="30"/>
  <c r="G41" i="30"/>
  <c r="H41" i="30"/>
  <c r="I41" i="30"/>
  <c r="J41" i="30"/>
  <c r="C42" i="30"/>
  <c r="D42" i="30"/>
  <c r="E42" i="30"/>
  <c r="F42" i="30"/>
  <c r="G42" i="30"/>
  <c r="H42" i="30"/>
  <c r="I42" i="30"/>
  <c r="J42" i="30"/>
  <c r="C43" i="30"/>
  <c r="D43" i="30"/>
  <c r="E43" i="30"/>
  <c r="F43" i="30"/>
  <c r="G43" i="30"/>
  <c r="H43" i="30"/>
  <c r="I43" i="30"/>
  <c r="J43" i="30"/>
  <c r="C44" i="30"/>
  <c r="D44" i="30"/>
  <c r="E44" i="30"/>
  <c r="F44" i="30"/>
  <c r="G44" i="30"/>
  <c r="H44" i="30"/>
  <c r="I44" i="30"/>
  <c r="J44" i="30"/>
  <c r="C45" i="30"/>
  <c r="D45" i="30"/>
  <c r="E45" i="30"/>
  <c r="F45" i="30"/>
  <c r="G45" i="30"/>
  <c r="H45" i="30"/>
  <c r="I45" i="30"/>
  <c r="J45" i="30"/>
  <c r="C46" i="30"/>
  <c r="D46" i="30"/>
  <c r="E46" i="30"/>
  <c r="F46" i="30"/>
  <c r="G46" i="30"/>
  <c r="H46" i="30"/>
  <c r="I46" i="30"/>
  <c r="J46" i="30"/>
  <c r="C47" i="30"/>
  <c r="D47" i="30"/>
  <c r="E47" i="30"/>
  <c r="F47" i="30"/>
  <c r="G47" i="30"/>
  <c r="H47" i="30"/>
  <c r="I47" i="30"/>
  <c r="D5" i="30" s="1"/>
  <c r="J47" i="30"/>
  <c r="C48" i="30"/>
  <c r="D48" i="30"/>
  <c r="E48" i="30"/>
  <c r="F48" i="30"/>
  <c r="G48" i="30"/>
  <c r="H48" i="30"/>
  <c r="I48" i="30"/>
  <c r="J48" i="30"/>
  <c r="C49" i="30"/>
  <c r="D49" i="30"/>
  <c r="E49" i="30"/>
  <c r="F49" i="30"/>
  <c r="G49" i="30"/>
  <c r="H49" i="30"/>
  <c r="I49" i="30"/>
  <c r="J49" i="30"/>
  <c r="C50" i="30"/>
  <c r="D50" i="30"/>
  <c r="E50" i="30"/>
  <c r="F50" i="30"/>
  <c r="G50" i="30"/>
  <c r="H50" i="30"/>
  <c r="I50" i="30"/>
  <c r="J50" i="30"/>
  <c r="C51" i="30"/>
  <c r="D51" i="30"/>
  <c r="E51" i="30"/>
  <c r="F51" i="30"/>
  <c r="G51" i="30"/>
  <c r="H51" i="30"/>
  <c r="I51" i="30"/>
  <c r="J51" i="30"/>
  <c r="C52" i="30"/>
  <c r="D52" i="30"/>
  <c r="E52" i="30"/>
  <c r="F52" i="30"/>
  <c r="G52" i="30"/>
  <c r="H52" i="30"/>
  <c r="I52" i="30"/>
  <c r="J52" i="30"/>
  <c r="C53" i="30"/>
  <c r="D53" i="30"/>
  <c r="E53" i="30"/>
  <c r="F53" i="30"/>
  <c r="G53" i="30"/>
  <c r="H53" i="30"/>
  <c r="I53" i="30"/>
  <c r="J53" i="30"/>
  <c r="C54" i="30"/>
  <c r="D54" i="30"/>
  <c r="E54" i="30"/>
  <c r="F54" i="30"/>
  <c r="G54" i="30"/>
  <c r="H54" i="30"/>
  <c r="I54" i="30"/>
  <c r="J54" i="30"/>
  <c r="C55" i="30"/>
  <c r="D55" i="30"/>
  <c r="E55" i="30"/>
  <c r="F55" i="30"/>
  <c r="G55" i="30"/>
  <c r="H55" i="30"/>
  <c r="I55" i="30"/>
  <c r="J55" i="30"/>
  <c r="C56" i="30"/>
  <c r="D56" i="30"/>
  <c r="E56" i="30"/>
  <c r="F56" i="30"/>
  <c r="G56" i="30"/>
  <c r="H56" i="30"/>
  <c r="I56" i="30"/>
  <c r="J56" i="30"/>
  <c r="C57" i="30"/>
  <c r="D57" i="30"/>
  <c r="E57" i="30"/>
  <c r="F57" i="30"/>
  <c r="G57" i="30"/>
  <c r="H57" i="30"/>
  <c r="I57" i="30"/>
  <c r="J57" i="30"/>
  <c r="C58" i="30"/>
  <c r="D58" i="30"/>
  <c r="E58" i="30"/>
  <c r="F58" i="30"/>
  <c r="G58" i="30"/>
  <c r="H58" i="30"/>
  <c r="I58" i="30"/>
  <c r="J58" i="30"/>
  <c r="C59" i="30"/>
  <c r="D59" i="30"/>
  <c r="E59" i="30"/>
  <c r="F59" i="30"/>
  <c r="G59" i="30"/>
  <c r="H59" i="30"/>
  <c r="I59" i="30"/>
  <c r="J59" i="30"/>
  <c r="C60" i="30"/>
  <c r="D60" i="30"/>
  <c r="E60" i="30"/>
  <c r="F60" i="30"/>
  <c r="G60" i="30"/>
  <c r="H60" i="30"/>
  <c r="I60" i="30"/>
  <c r="J60" i="30"/>
  <c r="C61" i="30"/>
  <c r="D61" i="30"/>
  <c r="E61" i="30"/>
  <c r="F61" i="30"/>
  <c r="G61" i="30"/>
  <c r="H61" i="30"/>
  <c r="I61" i="30"/>
  <c r="J61" i="30"/>
  <c r="C62" i="30"/>
  <c r="D62" i="30"/>
  <c r="E62" i="30"/>
  <c r="F62" i="30"/>
  <c r="G62" i="30"/>
  <c r="H62" i="30"/>
  <c r="I62" i="30"/>
  <c r="J62" i="30"/>
  <c r="C63" i="30"/>
  <c r="D63" i="30"/>
  <c r="E63" i="30"/>
  <c r="F63" i="30"/>
  <c r="G63" i="30"/>
  <c r="H63" i="30"/>
  <c r="I63" i="30"/>
  <c r="J63" i="30"/>
  <c r="C64" i="30"/>
  <c r="D64" i="30"/>
  <c r="E64" i="30"/>
  <c r="F64" i="30"/>
  <c r="G64" i="30"/>
  <c r="H64" i="30"/>
  <c r="I64" i="30"/>
  <c r="J64" i="30"/>
  <c r="C65" i="30"/>
  <c r="D65" i="30"/>
  <c r="E65" i="30"/>
  <c r="F65" i="30"/>
  <c r="G65" i="30"/>
  <c r="H65" i="30"/>
  <c r="I65" i="30"/>
  <c r="J65" i="30"/>
  <c r="C66" i="30"/>
  <c r="D66" i="30"/>
  <c r="E66" i="30"/>
  <c r="F66" i="30"/>
  <c r="G66" i="30"/>
  <c r="H66" i="30"/>
  <c r="I66" i="30"/>
  <c r="J66" i="30"/>
  <c r="C67" i="30"/>
  <c r="D67" i="30"/>
  <c r="E67" i="30"/>
  <c r="F67" i="30"/>
  <c r="G67" i="30"/>
  <c r="H67" i="30"/>
  <c r="I67" i="30"/>
  <c r="J67" i="30"/>
  <c r="C68" i="30"/>
  <c r="D68" i="30"/>
  <c r="E68" i="30"/>
  <c r="F68" i="30"/>
  <c r="G68" i="30"/>
  <c r="H68" i="30"/>
  <c r="I68" i="30"/>
  <c r="J68" i="30"/>
  <c r="C69" i="30"/>
  <c r="D69" i="30"/>
  <c r="E69" i="30"/>
  <c r="F69" i="30"/>
  <c r="G69" i="30"/>
  <c r="H69" i="30"/>
  <c r="I69" i="30"/>
  <c r="J69" i="30"/>
  <c r="C70" i="30"/>
  <c r="D70" i="30"/>
  <c r="E70" i="30"/>
  <c r="F70" i="30"/>
  <c r="G70" i="30"/>
  <c r="H70" i="30"/>
  <c r="I70" i="30"/>
  <c r="J70" i="30"/>
  <c r="C71" i="30"/>
  <c r="D71" i="30"/>
  <c r="E71" i="30"/>
  <c r="F71" i="30"/>
  <c r="G71" i="30"/>
  <c r="H71" i="30"/>
  <c r="I71" i="30"/>
  <c r="J71" i="30"/>
  <c r="C72" i="30"/>
  <c r="D72" i="30"/>
  <c r="E72" i="30"/>
  <c r="F72" i="30"/>
  <c r="G72" i="30"/>
  <c r="H72" i="30"/>
  <c r="I72" i="30"/>
  <c r="J72" i="30"/>
  <c r="C73" i="30"/>
  <c r="D73" i="30"/>
  <c r="E73" i="30"/>
  <c r="F73" i="30"/>
  <c r="G73" i="30"/>
  <c r="H73" i="30"/>
  <c r="I73" i="30"/>
  <c r="J73" i="30"/>
  <c r="C74" i="30"/>
  <c r="D74" i="30"/>
  <c r="E74" i="30"/>
  <c r="F74" i="30"/>
  <c r="G74" i="30"/>
  <c r="H74" i="30"/>
  <c r="I74" i="30"/>
  <c r="J74" i="30"/>
  <c r="C75" i="30"/>
  <c r="D75" i="30"/>
  <c r="E75" i="30"/>
  <c r="F75" i="30"/>
  <c r="G75" i="30"/>
  <c r="H75" i="30"/>
  <c r="I75" i="30"/>
  <c r="J75" i="30"/>
  <c r="C76" i="30"/>
  <c r="D76" i="30"/>
  <c r="E76" i="30"/>
  <c r="F76" i="30"/>
  <c r="G76" i="30"/>
  <c r="H76" i="30"/>
  <c r="I76" i="30"/>
  <c r="J76" i="30"/>
  <c r="C77" i="30"/>
  <c r="D77" i="30"/>
  <c r="E77" i="30"/>
  <c r="F77" i="30"/>
  <c r="G77" i="30"/>
  <c r="H77" i="30"/>
  <c r="I77" i="30"/>
  <c r="J77" i="30"/>
  <c r="E3" i="30"/>
  <c r="F3" i="30"/>
  <c r="G3" i="30"/>
  <c r="H3" i="30"/>
  <c r="I3" i="30"/>
  <c r="J3" i="30"/>
  <c r="C3" i="30"/>
  <c r="D4" i="29"/>
  <c r="D3" i="29"/>
  <c r="C4" i="29"/>
  <c r="E4" i="29"/>
  <c r="F4" i="29"/>
  <c r="G4" i="29"/>
  <c r="H4" i="29"/>
  <c r="I4" i="29"/>
  <c r="J4" i="29"/>
  <c r="C5" i="29"/>
  <c r="E5" i="29"/>
  <c r="F5" i="29"/>
  <c r="G5" i="29"/>
  <c r="H5" i="29"/>
  <c r="I5" i="29"/>
  <c r="J5" i="29"/>
  <c r="C6" i="29"/>
  <c r="D6" i="29"/>
  <c r="E6" i="29"/>
  <c r="F6" i="29"/>
  <c r="G6" i="29"/>
  <c r="H6" i="29"/>
  <c r="I6" i="29"/>
  <c r="J6" i="29"/>
  <c r="G7" i="29"/>
  <c r="H7" i="29"/>
  <c r="I7" i="29"/>
  <c r="J7" i="29"/>
  <c r="G8" i="29"/>
  <c r="H8" i="29"/>
  <c r="I8" i="29"/>
  <c r="J8" i="29"/>
  <c r="G9" i="29"/>
  <c r="H9" i="29"/>
  <c r="I9" i="29"/>
  <c r="J9" i="29"/>
  <c r="G10" i="29"/>
  <c r="H10" i="29"/>
  <c r="J10" i="29"/>
  <c r="G11" i="29"/>
  <c r="H11" i="29"/>
  <c r="I11" i="29"/>
  <c r="J11" i="29"/>
  <c r="G12" i="29"/>
  <c r="H12" i="29"/>
  <c r="I12" i="29"/>
  <c r="J12" i="29"/>
  <c r="G13" i="29"/>
  <c r="H13" i="29"/>
  <c r="I13" i="29"/>
  <c r="J13" i="29"/>
  <c r="G14" i="29"/>
  <c r="H14" i="29"/>
  <c r="I14" i="29"/>
  <c r="J14" i="29"/>
  <c r="G15" i="29"/>
  <c r="H15" i="29"/>
  <c r="J15" i="29"/>
  <c r="G16" i="29"/>
  <c r="H16" i="29"/>
  <c r="I16" i="29"/>
  <c r="J16" i="29"/>
  <c r="G17" i="29"/>
  <c r="H17" i="29"/>
  <c r="I17" i="29"/>
  <c r="J17" i="29"/>
  <c r="G18" i="29"/>
  <c r="H18" i="29"/>
  <c r="I18" i="29"/>
  <c r="J18" i="29"/>
  <c r="G19" i="29"/>
  <c r="H19" i="29"/>
  <c r="I19" i="29"/>
  <c r="J19" i="29"/>
  <c r="G20" i="29"/>
  <c r="H20" i="29"/>
  <c r="I20" i="29"/>
  <c r="J20" i="29"/>
  <c r="G21" i="29"/>
  <c r="H21" i="29"/>
  <c r="I21" i="29"/>
  <c r="J21" i="29"/>
  <c r="G22" i="29"/>
  <c r="H22" i="29"/>
  <c r="I22" i="29"/>
  <c r="J22" i="29"/>
  <c r="G23" i="29"/>
  <c r="H23" i="29"/>
  <c r="I23" i="29"/>
  <c r="J23" i="29"/>
  <c r="G24" i="29"/>
  <c r="H24" i="29"/>
  <c r="I24" i="29"/>
  <c r="J24" i="29"/>
  <c r="C25" i="29"/>
  <c r="E25" i="29"/>
  <c r="F25" i="29"/>
  <c r="G25" i="29"/>
  <c r="H25" i="29"/>
  <c r="I25" i="29"/>
  <c r="J25" i="29"/>
  <c r="C26" i="29"/>
  <c r="E26" i="29"/>
  <c r="F26" i="29"/>
  <c r="G26" i="29"/>
  <c r="H26" i="29"/>
  <c r="I26" i="29"/>
  <c r="J26" i="29"/>
  <c r="C27" i="29"/>
  <c r="E27" i="29"/>
  <c r="F27" i="29"/>
  <c r="G27" i="29"/>
  <c r="H27" i="29"/>
  <c r="I27" i="29"/>
  <c r="J27" i="29"/>
  <c r="C28" i="29"/>
  <c r="E28" i="29"/>
  <c r="F28" i="29"/>
  <c r="G28" i="29"/>
  <c r="H28" i="29"/>
  <c r="I28" i="29"/>
  <c r="J28" i="29"/>
  <c r="C29" i="29"/>
  <c r="E29" i="29"/>
  <c r="F29" i="29"/>
  <c r="G29" i="29"/>
  <c r="H29" i="29"/>
  <c r="I29" i="29"/>
  <c r="J29" i="29"/>
  <c r="C30" i="29"/>
  <c r="E30" i="29"/>
  <c r="F30" i="29"/>
  <c r="G30" i="29"/>
  <c r="H30" i="29"/>
  <c r="I30" i="29"/>
  <c r="J30" i="29"/>
  <c r="C31" i="29"/>
  <c r="E31" i="29"/>
  <c r="F31" i="29"/>
  <c r="G31" i="29"/>
  <c r="H31" i="29"/>
  <c r="I31" i="29"/>
  <c r="J31" i="29"/>
  <c r="C32" i="29"/>
  <c r="E32" i="29"/>
  <c r="F32" i="29"/>
  <c r="G32" i="29"/>
  <c r="H32" i="29"/>
  <c r="I32" i="29"/>
  <c r="J32" i="29"/>
  <c r="C33" i="29"/>
  <c r="E33" i="29"/>
  <c r="F33" i="29"/>
  <c r="G33" i="29"/>
  <c r="H33" i="29"/>
  <c r="I33" i="29"/>
  <c r="J33" i="29"/>
  <c r="C34" i="29"/>
  <c r="E34" i="29"/>
  <c r="F34" i="29"/>
  <c r="G34" i="29"/>
  <c r="H34" i="29"/>
  <c r="J34" i="29"/>
  <c r="C35" i="29"/>
  <c r="E35" i="29"/>
  <c r="F35" i="29"/>
  <c r="G35" i="29"/>
  <c r="H35" i="29"/>
  <c r="I35" i="29"/>
  <c r="J35" i="29"/>
  <c r="C36" i="29"/>
  <c r="E36" i="29"/>
  <c r="F36" i="29"/>
  <c r="G36" i="29"/>
  <c r="H36" i="29"/>
  <c r="I36" i="29"/>
  <c r="J36" i="29"/>
  <c r="C37" i="29"/>
  <c r="E37" i="29"/>
  <c r="F37" i="29"/>
  <c r="G37" i="29"/>
  <c r="H37" i="29"/>
  <c r="I37" i="29"/>
  <c r="J37" i="29"/>
  <c r="C38" i="29"/>
  <c r="E38" i="29"/>
  <c r="F38" i="29"/>
  <c r="G38" i="29"/>
  <c r="H38" i="29"/>
  <c r="J38" i="29"/>
  <c r="C39" i="29"/>
  <c r="E39" i="29"/>
  <c r="F39" i="29"/>
  <c r="G39" i="29"/>
  <c r="H39" i="29"/>
  <c r="I39" i="29"/>
  <c r="J39" i="29"/>
  <c r="C40" i="29"/>
  <c r="E40" i="29"/>
  <c r="F40" i="29"/>
  <c r="G40" i="29"/>
  <c r="H40" i="29"/>
  <c r="I40" i="29"/>
  <c r="J40" i="29"/>
  <c r="C41" i="29"/>
  <c r="E41" i="29"/>
  <c r="F41" i="29"/>
  <c r="G41" i="29"/>
  <c r="H41" i="29"/>
  <c r="J41" i="29"/>
  <c r="C42" i="29"/>
  <c r="E42" i="29"/>
  <c r="F42" i="29"/>
  <c r="G42" i="29"/>
  <c r="H42" i="29"/>
  <c r="J42" i="29"/>
  <c r="C43" i="29"/>
  <c r="E43" i="29"/>
  <c r="F43" i="29"/>
  <c r="G43" i="29"/>
  <c r="H43" i="29"/>
  <c r="J43" i="29"/>
  <c r="C44" i="29"/>
  <c r="E44" i="29"/>
  <c r="F44" i="29"/>
  <c r="G44" i="29"/>
  <c r="H44" i="29"/>
  <c r="J44" i="29"/>
  <c r="C45" i="29"/>
  <c r="D45" i="29"/>
  <c r="E45" i="29"/>
  <c r="F45" i="29"/>
  <c r="G45" i="29"/>
  <c r="H45" i="29"/>
  <c r="J45" i="29"/>
  <c r="C46" i="29"/>
  <c r="D46" i="29"/>
  <c r="E46" i="29"/>
  <c r="F46" i="29"/>
  <c r="G46" i="29"/>
  <c r="H46" i="29"/>
  <c r="I46" i="29"/>
  <c r="J46" i="29"/>
  <c r="C47" i="29"/>
  <c r="D47" i="29"/>
  <c r="E47" i="29"/>
  <c r="F47" i="29"/>
  <c r="G47" i="29"/>
  <c r="H47" i="29"/>
  <c r="D5" i="29"/>
  <c r="J47" i="29"/>
  <c r="C48" i="29"/>
  <c r="D48" i="29"/>
  <c r="E48" i="29"/>
  <c r="F48" i="29"/>
  <c r="G48" i="29"/>
  <c r="H48" i="29"/>
  <c r="J48" i="29"/>
  <c r="C49" i="29"/>
  <c r="D49" i="29"/>
  <c r="E49" i="29"/>
  <c r="F49" i="29"/>
  <c r="G49" i="29"/>
  <c r="H49" i="29"/>
  <c r="J49" i="29"/>
  <c r="C50" i="29"/>
  <c r="D50" i="29"/>
  <c r="E50" i="29"/>
  <c r="F50" i="29"/>
  <c r="G50" i="29"/>
  <c r="H50" i="29"/>
  <c r="I50" i="29"/>
  <c r="J50" i="29"/>
  <c r="C51" i="29"/>
  <c r="D51" i="29"/>
  <c r="E51" i="29"/>
  <c r="F51" i="29"/>
  <c r="G51" i="29"/>
  <c r="H51" i="29"/>
  <c r="I51" i="29"/>
  <c r="J51" i="29"/>
  <c r="C52" i="29"/>
  <c r="D52" i="29"/>
  <c r="E52" i="29"/>
  <c r="F52" i="29"/>
  <c r="G52" i="29"/>
  <c r="H52" i="29"/>
  <c r="I52" i="29"/>
  <c r="J52" i="29"/>
  <c r="C53" i="29"/>
  <c r="D53" i="29"/>
  <c r="E53" i="29"/>
  <c r="F53" i="29"/>
  <c r="G53" i="29"/>
  <c r="H53" i="29"/>
  <c r="I53" i="29"/>
  <c r="J53" i="29"/>
  <c r="C54" i="29"/>
  <c r="D54" i="29"/>
  <c r="E54" i="29"/>
  <c r="F54" i="29"/>
  <c r="G54" i="29"/>
  <c r="H54" i="29"/>
  <c r="I54" i="29"/>
  <c r="J54" i="29"/>
  <c r="C55" i="29"/>
  <c r="D55" i="29"/>
  <c r="E55" i="29"/>
  <c r="F55" i="29"/>
  <c r="G55" i="29"/>
  <c r="H55" i="29"/>
  <c r="J55" i="29"/>
  <c r="C56" i="29"/>
  <c r="D56" i="29"/>
  <c r="E56" i="29"/>
  <c r="F56" i="29"/>
  <c r="G56" i="29"/>
  <c r="H56" i="29"/>
  <c r="I56" i="29"/>
  <c r="J56" i="29"/>
  <c r="C57" i="29"/>
  <c r="D57" i="29"/>
  <c r="E57" i="29"/>
  <c r="F57" i="29"/>
  <c r="G57" i="29"/>
  <c r="H57" i="29"/>
  <c r="J57" i="29"/>
  <c r="C58" i="29"/>
  <c r="D58" i="29"/>
  <c r="E58" i="29"/>
  <c r="F58" i="29"/>
  <c r="G58" i="29"/>
  <c r="H58" i="29"/>
  <c r="I58" i="29"/>
  <c r="J58" i="29"/>
  <c r="C59" i="29"/>
  <c r="D59" i="29"/>
  <c r="E59" i="29"/>
  <c r="F59" i="29"/>
  <c r="G59" i="29"/>
  <c r="H59" i="29"/>
  <c r="I59" i="29"/>
  <c r="J59" i="29"/>
  <c r="C60" i="29"/>
  <c r="D60" i="29"/>
  <c r="E60" i="29"/>
  <c r="F60" i="29"/>
  <c r="G60" i="29"/>
  <c r="H60" i="29"/>
  <c r="I60" i="29"/>
  <c r="J60" i="29"/>
  <c r="C61" i="29"/>
  <c r="D61" i="29"/>
  <c r="E61" i="29"/>
  <c r="F61" i="29"/>
  <c r="G61" i="29"/>
  <c r="H61" i="29"/>
  <c r="I61" i="29"/>
  <c r="J61" i="29"/>
  <c r="C62" i="29"/>
  <c r="D62" i="29"/>
  <c r="E62" i="29"/>
  <c r="F62" i="29"/>
  <c r="G62" i="29"/>
  <c r="H62" i="29"/>
  <c r="I62" i="29"/>
  <c r="J62" i="29"/>
  <c r="C63" i="29"/>
  <c r="D63" i="29"/>
  <c r="E63" i="29"/>
  <c r="F63" i="29"/>
  <c r="G63" i="29"/>
  <c r="H63" i="29"/>
  <c r="I63" i="29"/>
  <c r="J63" i="29"/>
  <c r="C64" i="29"/>
  <c r="D64" i="29"/>
  <c r="E64" i="29"/>
  <c r="F64" i="29"/>
  <c r="G64" i="29"/>
  <c r="H64" i="29"/>
  <c r="I64" i="29"/>
  <c r="J64" i="29"/>
  <c r="C65" i="29"/>
  <c r="D65" i="29"/>
  <c r="E65" i="29"/>
  <c r="F65" i="29"/>
  <c r="G65" i="29"/>
  <c r="H65" i="29"/>
  <c r="I65" i="29"/>
  <c r="J65" i="29"/>
  <c r="C66" i="29"/>
  <c r="D66" i="29"/>
  <c r="E66" i="29"/>
  <c r="F66" i="29"/>
  <c r="G66" i="29"/>
  <c r="H66" i="29"/>
  <c r="I66" i="29"/>
  <c r="J66" i="29"/>
  <c r="C67" i="29"/>
  <c r="D67" i="29"/>
  <c r="E67" i="29"/>
  <c r="F67" i="29"/>
  <c r="G67" i="29"/>
  <c r="H67" i="29"/>
  <c r="I67" i="29"/>
  <c r="J67" i="29"/>
  <c r="C68" i="29"/>
  <c r="D68" i="29"/>
  <c r="E68" i="29"/>
  <c r="F68" i="29"/>
  <c r="G68" i="29"/>
  <c r="H68" i="29"/>
  <c r="I68" i="29"/>
  <c r="J68" i="29"/>
  <c r="C69" i="29"/>
  <c r="D69" i="29"/>
  <c r="E69" i="29"/>
  <c r="F69" i="29"/>
  <c r="G69" i="29"/>
  <c r="H69" i="29"/>
  <c r="I69" i="29"/>
  <c r="J69" i="29"/>
  <c r="C70" i="29"/>
  <c r="D70" i="29"/>
  <c r="E70" i="29"/>
  <c r="F70" i="29"/>
  <c r="G70" i="29"/>
  <c r="H70" i="29"/>
  <c r="I70" i="29"/>
  <c r="J70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E3" i="29"/>
  <c r="F3" i="29"/>
  <c r="G3" i="29"/>
  <c r="H3" i="29"/>
  <c r="J3" i="29"/>
  <c r="C3" i="29"/>
  <c r="D5" i="28"/>
  <c r="D4" i="28"/>
  <c r="D3" i="28"/>
  <c r="C4" i="28"/>
  <c r="E4" i="28"/>
  <c r="F4" i="28"/>
  <c r="G4" i="28"/>
  <c r="H4" i="28"/>
  <c r="I4" i="28"/>
  <c r="J4" i="28"/>
  <c r="C5" i="28"/>
  <c r="E5" i="28"/>
  <c r="F5" i="28"/>
  <c r="G5" i="28"/>
  <c r="H5" i="28"/>
  <c r="I5" i="28"/>
  <c r="J5" i="28"/>
  <c r="C6" i="28"/>
  <c r="D6" i="28"/>
  <c r="E6" i="28"/>
  <c r="F6" i="28"/>
  <c r="G6" i="28"/>
  <c r="H6" i="28"/>
  <c r="I6" i="28"/>
  <c r="J6" i="28"/>
  <c r="G7" i="28"/>
  <c r="H7" i="28"/>
  <c r="I7" i="28"/>
  <c r="J7" i="28"/>
  <c r="G8" i="28"/>
  <c r="H8" i="28"/>
  <c r="J8" i="28"/>
  <c r="G9" i="28"/>
  <c r="H9" i="28"/>
  <c r="I9" i="28"/>
  <c r="J9" i="28"/>
  <c r="G10" i="28"/>
  <c r="H10" i="28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C25" i="28"/>
  <c r="D25" i="28"/>
  <c r="E25" i="28"/>
  <c r="F25" i="28"/>
  <c r="G25" i="28"/>
  <c r="H25" i="28"/>
  <c r="I25" i="28"/>
  <c r="J25" i="28"/>
  <c r="C26" i="28"/>
  <c r="E26" i="28"/>
  <c r="F26" i="28"/>
  <c r="G26" i="28"/>
  <c r="H26" i="28"/>
  <c r="I26" i="28"/>
  <c r="J26" i="28"/>
  <c r="C27" i="28"/>
  <c r="E27" i="28"/>
  <c r="F27" i="28"/>
  <c r="G27" i="28"/>
  <c r="H27" i="28"/>
  <c r="I27" i="28"/>
  <c r="J27" i="28"/>
  <c r="C28" i="28"/>
  <c r="D28" i="28"/>
  <c r="E28" i="28"/>
  <c r="F28" i="28"/>
  <c r="G28" i="28"/>
  <c r="H28" i="28"/>
  <c r="I28" i="28"/>
  <c r="J28" i="28"/>
  <c r="C29" i="28"/>
  <c r="D29" i="28"/>
  <c r="E29" i="28"/>
  <c r="F29" i="28"/>
  <c r="G29" i="28"/>
  <c r="H29" i="28"/>
  <c r="I29" i="28"/>
  <c r="J29" i="28"/>
  <c r="C30" i="28"/>
  <c r="D30" i="28"/>
  <c r="E30" i="28"/>
  <c r="F30" i="28"/>
  <c r="G30" i="28"/>
  <c r="H30" i="28"/>
  <c r="I30" i="28"/>
  <c r="J30" i="28"/>
  <c r="C31" i="28"/>
  <c r="D31" i="28"/>
  <c r="E31" i="28"/>
  <c r="F31" i="28"/>
  <c r="G31" i="28"/>
  <c r="H31" i="28"/>
  <c r="I31" i="28"/>
  <c r="J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G33" i="28"/>
  <c r="H33" i="28"/>
  <c r="I33" i="28"/>
  <c r="J33" i="28"/>
  <c r="C34" i="28"/>
  <c r="D34" i="28"/>
  <c r="E34" i="28"/>
  <c r="F34" i="28"/>
  <c r="G34" i="28"/>
  <c r="H34" i="28"/>
  <c r="I34" i="28"/>
  <c r="J34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G38" i="28"/>
  <c r="H38" i="28"/>
  <c r="I38" i="28"/>
  <c r="J38" i="28"/>
  <c r="C39" i="28"/>
  <c r="D39" i="28"/>
  <c r="E39" i="28"/>
  <c r="F39" i="28"/>
  <c r="G39" i="28"/>
  <c r="H39" i="28"/>
  <c r="I39" i="28"/>
  <c r="J39" i="28"/>
  <c r="C40" i="28"/>
  <c r="D40" i="28"/>
  <c r="E40" i="28"/>
  <c r="F40" i="28"/>
  <c r="G40" i="28"/>
  <c r="H40" i="28"/>
  <c r="I40" i="28"/>
  <c r="J40" i="28"/>
  <c r="C41" i="28"/>
  <c r="D41" i="28"/>
  <c r="E41" i="28"/>
  <c r="F41" i="28"/>
  <c r="G41" i="28"/>
  <c r="H41" i="28"/>
  <c r="I41" i="28"/>
  <c r="J41" i="28"/>
  <c r="C42" i="28"/>
  <c r="D42" i="28"/>
  <c r="E42" i="28"/>
  <c r="F42" i="28"/>
  <c r="G42" i="28"/>
  <c r="H42" i="28"/>
  <c r="I42" i="28"/>
  <c r="J42" i="28"/>
  <c r="C43" i="28"/>
  <c r="D43" i="28"/>
  <c r="E43" i="28"/>
  <c r="F43" i="28"/>
  <c r="G43" i="28"/>
  <c r="H43" i="28"/>
  <c r="I43" i="28"/>
  <c r="J43" i="28"/>
  <c r="C44" i="28"/>
  <c r="D44" i="28"/>
  <c r="E44" i="28"/>
  <c r="F44" i="28"/>
  <c r="G44" i="28"/>
  <c r="H44" i="28"/>
  <c r="I44" i="28"/>
  <c r="J44" i="28"/>
  <c r="C45" i="28"/>
  <c r="D45" i="28"/>
  <c r="E45" i="28"/>
  <c r="F45" i="28"/>
  <c r="G45" i="28"/>
  <c r="H45" i="28"/>
  <c r="I45" i="28"/>
  <c r="J45" i="28"/>
  <c r="C46" i="28"/>
  <c r="D46" i="28"/>
  <c r="E46" i="28"/>
  <c r="F46" i="28"/>
  <c r="G46" i="28"/>
  <c r="H46" i="28"/>
  <c r="I46" i="28"/>
  <c r="J46" i="28"/>
  <c r="C47" i="28"/>
  <c r="D47" i="28"/>
  <c r="E47" i="28"/>
  <c r="F47" i="28"/>
  <c r="G47" i="28"/>
  <c r="H47" i="28"/>
  <c r="J47" i="28"/>
  <c r="C48" i="28"/>
  <c r="D48" i="28"/>
  <c r="E48" i="28"/>
  <c r="F48" i="28"/>
  <c r="G48" i="28"/>
  <c r="H48" i="28"/>
  <c r="I48" i="28"/>
  <c r="J48" i="28"/>
  <c r="C49" i="28"/>
  <c r="D49" i="28"/>
  <c r="E49" i="28"/>
  <c r="F49" i="28"/>
  <c r="G49" i="28"/>
  <c r="H49" i="28"/>
  <c r="I49" i="28"/>
  <c r="J49" i="28"/>
  <c r="C50" i="28"/>
  <c r="D50" i="28"/>
  <c r="E50" i="28"/>
  <c r="F50" i="28"/>
  <c r="G50" i="28"/>
  <c r="H50" i="28"/>
  <c r="I50" i="28"/>
  <c r="J50" i="28"/>
  <c r="C51" i="28"/>
  <c r="D51" i="28"/>
  <c r="E51" i="28"/>
  <c r="F51" i="28"/>
  <c r="G51" i="28"/>
  <c r="H51" i="28"/>
  <c r="I51" i="28"/>
  <c r="J51" i="28"/>
  <c r="C52" i="28"/>
  <c r="D52" i="28"/>
  <c r="E52" i="28"/>
  <c r="F52" i="28"/>
  <c r="G52" i="28"/>
  <c r="H52" i="28"/>
  <c r="I52" i="28"/>
  <c r="J52" i="28"/>
  <c r="C53" i="28"/>
  <c r="D53" i="28"/>
  <c r="E53" i="28"/>
  <c r="F53" i="28"/>
  <c r="G53" i="28"/>
  <c r="H53" i="28"/>
  <c r="J53" i="28"/>
  <c r="C54" i="28"/>
  <c r="D54" i="28"/>
  <c r="E54" i="28"/>
  <c r="F54" i="28"/>
  <c r="G54" i="28"/>
  <c r="H54" i="28"/>
  <c r="J54" i="28"/>
  <c r="C55" i="28"/>
  <c r="D55" i="28"/>
  <c r="E55" i="28"/>
  <c r="F55" i="28"/>
  <c r="G55" i="28"/>
  <c r="H55" i="28"/>
  <c r="I55" i="28"/>
  <c r="J55" i="28"/>
  <c r="C56" i="28"/>
  <c r="D56" i="28"/>
  <c r="E56" i="28"/>
  <c r="F56" i="28"/>
  <c r="G56" i="28"/>
  <c r="H56" i="28"/>
  <c r="I56" i="28"/>
  <c r="J56" i="28"/>
  <c r="C57" i="28"/>
  <c r="D57" i="28"/>
  <c r="E57" i="28"/>
  <c r="F57" i="28"/>
  <c r="G57" i="28"/>
  <c r="H57" i="28"/>
  <c r="J57" i="28"/>
  <c r="C58" i="28"/>
  <c r="D58" i="28"/>
  <c r="E58" i="28"/>
  <c r="F58" i="28"/>
  <c r="G58" i="28"/>
  <c r="H58" i="28"/>
  <c r="I58" i="28"/>
  <c r="J58" i="28"/>
  <c r="C59" i="28"/>
  <c r="D59" i="28"/>
  <c r="E59" i="28"/>
  <c r="F59" i="28"/>
  <c r="G59" i="28"/>
  <c r="H59" i="28"/>
  <c r="I59" i="28"/>
  <c r="J59" i="28"/>
  <c r="C60" i="28"/>
  <c r="D60" i="28"/>
  <c r="E60" i="28"/>
  <c r="F60" i="28"/>
  <c r="G60" i="28"/>
  <c r="H60" i="28"/>
  <c r="I60" i="28"/>
  <c r="J60" i="28"/>
  <c r="C61" i="28"/>
  <c r="D61" i="28"/>
  <c r="E61" i="28"/>
  <c r="F61" i="28"/>
  <c r="G61" i="28"/>
  <c r="H61" i="28"/>
  <c r="I61" i="28"/>
  <c r="J61" i="28"/>
  <c r="C62" i="28"/>
  <c r="D62" i="28"/>
  <c r="E62" i="28"/>
  <c r="F62" i="28"/>
  <c r="G62" i="28"/>
  <c r="H62" i="28"/>
  <c r="J62" i="28"/>
  <c r="C63" i="28"/>
  <c r="D63" i="28"/>
  <c r="E63" i="28"/>
  <c r="F63" i="28"/>
  <c r="G63" i="28"/>
  <c r="H63" i="28"/>
  <c r="I63" i="28"/>
  <c r="J63" i="28"/>
  <c r="C64" i="28"/>
  <c r="D64" i="28"/>
  <c r="E64" i="28"/>
  <c r="F64" i="28"/>
  <c r="G64" i="28"/>
  <c r="H64" i="28"/>
  <c r="I64" i="28"/>
  <c r="J64" i="28"/>
  <c r="C65" i="28"/>
  <c r="D65" i="28"/>
  <c r="E65" i="28"/>
  <c r="F65" i="28"/>
  <c r="G65" i="28"/>
  <c r="H65" i="28"/>
  <c r="I65" i="28"/>
  <c r="J65" i="28"/>
  <c r="C66" i="28"/>
  <c r="D66" i="28"/>
  <c r="E66" i="28"/>
  <c r="F66" i="28"/>
  <c r="G66" i="28"/>
  <c r="H66" i="28"/>
  <c r="I66" i="28"/>
  <c r="J66" i="28"/>
  <c r="C67" i="28"/>
  <c r="D67" i="28"/>
  <c r="E67" i="28"/>
  <c r="F67" i="28"/>
  <c r="G67" i="28"/>
  <c r="H67" i="28"/>
  <c r="I67" i="28"/>
  <c r="J67" i="28"/>
  <c r="C68" i="28"/>
  <c r="D68" i="28"/>
  <c r="E68" i="28"/>
  <c r="F68" i="28"/>
  <c r="G68" i="28"/>
  <c r="H68" i="28"/>
  <c r="I68" i="28"/>
  <c r="J68" i="28"/>
  <c r="C69" i="28"/>
  <c r="D69" i="28"/>
  <c r="E69" i="28"/>
  <c r="F69" i="28"/>
  <c r="G69" i="28"/>
  <c r="H69" i="28"/>
  <c r="I69" i="28"/>
  <c r="J69" i="28"/>
  <c r="C70" i="28"/>
  <c r="D70" i="28"/>
  <c r="E70" i="28"/>
  <c r="F70" i="28"/>
  <c r="G70" i="28"/>
  <c r="H70" i="28"/>
  <c r="I70" i="28"/>
  <c r="J70" i="28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E3" i="28"/>
  <c r="F3" i="28"/>
  <c r="G3" i="28"/>
  <c r="H3" i="28"/>
  <c r="I3" i="28"/>
  <c r="J3" i="28"/>
  <c r="C3" i="28"/>
  <c r="I57" i="26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I4" i="26"/>
  <c r="I6" i="26"/>
  <c r="I8" i="26"/>
  <c r="I44" i="26"/>
  <c r="I55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D27" i="25"/>
  <c r="D35" i="25"/>
  <c r="D36" i="25"/>
  <c r="D34" i="25"/>
  <c r="D31" i="25"/>
  <c r="D32" i="25"/>
  <c r="D33" i="25"/>
  <c r="D30" i="25"/>
  <c r="D28" i="25"/>
  <c r="D5" i="25"/>
  <c r="D4" i="25"/>
  <c r="D3" i="25"/>
  <c r="C4" i="25"/>
  <c r="C4" i="26" s="1"/>
  <c r="E4" i="25"/>
  <c r="E4" i="26" s="1"/>
  <c r="F4" i="25"/>
  <c r="F4" i="26" s="1"/>
  <c r="G4" i="25"/>
  <c r="G4" i="26" s="1"/>
  <c r="H4" i="25"/>
  <c r="H4" i="26" s="1"/>
  <c r="J4" i="25"/>
  <c r="J4" i="26" s="1"/>
  <c r="C5" i="25"/>
  <c r="C5" i="26" s="1"/>
  <c r="E5" i="25"/>
  <c r="E5" i="26" s="1"/>
  <c r="F5" i="25"/>
  <c r="F5" i="26" s="1"/>
  <c r="G5" i="25"/>
  <c r="G5" i="26" s="1"/>
  <c r="H5" i="25"/>
  <c r="H5" i="26" s="1"/>
  <c r="I5" i="25"/>
  <c r="I5" i="26" s="1"/>
  <c r="J5" i="25"/>
  <c r="J5" i="26" s="1"/>
  <c r="C6" i="25"/>
  <c r="C6" i="26" s="1"/>
  <c r="D6" i="25"/>
  <c r="D6" i="26" s="1"/>
  <c r="E6" i="25"/>
  <c r="E6" i="26" s="1"/>
  <c r="F6" i="25"/>
  <c r="F6" i="26" s="1"/>
  <c r="G6" i="25"/>
  <c r="G6" i="26" s="1"/>
  <c r="H6" i="25"/>
  <c r="H6" i="26" s="1"/>
  <c r="J6" i="25"/>
  <c r="J6" i="26" s="1"/>
  <c r="G7" i="25"/>
  <c r="G7" i="26" s="1"/>
  <c r="H7" i="25"/>
  <c r="H7" i="26" s="1"/>
  <c r="I7" i="25"/>
  <c r="I7" i="26" s="1"/>
  <c r="J7" i="25"/>
  <c r="J7" i="26" s="1"/>
  <c r="G8" i="25"/>
  <c r="G8" i="26" s="1"/>
  <c r="H8" i="25"/>
  <c r="H8" i="26" s="1"/>
  <c r="J8" i="25"/>
  <c r="J8" i="26" s="1"/>
  <c r="G9" i="25"/>
  <c r="G9" i="26" s="1"/>
  <c r="H9" i="25"/>
  <c r="H9" i="26" s="1"/>
  <c r="I9" i="25"/>
  <c r="I9" i="26" s="1"/>
  <c r="J9" i="25"/>
  <c r="J9" i="26" s="1"/>
  <c r="G10" i="25"/>
  <c r="G10" i="26" s="1"/>
  <c r="H10" i="25"/>
  <c r="H10" i="26" s="1"/>
  <c r="I10" i="25"/>
  <c r="I10" i="26" s="1"/>
  <c r="J10" i="25"/>
  <c r="J10" i="26" s="1"/>
  <c r="G11" i="25"/>
  <c r="G11" i="26" s="1"/>
  <c r="H11" i="25"/>
  <c r="H11" i="26" s="1"/>
  <c r="I11" i="25"/>
  <c r="I11" i="26" s="1"/>
  <c r="J11" i="25"/>
  <c r="J11" i="26" s="1"/>
  <c r="G12" i="25"/>
  <c r="G12" i="26" s="1"/>
  <c r="H12" i="25"/>
  <c r="H12" i="26" s="1"/>
  <c r="I12" i="25"/>
  <c r="D29" i="25" s="1"/>
  <c r="J12" i="25"/>
  <c r="J12" i="26" s="1"/>
  <c r="G13" i="25"/>
  <c r="G13" i="26" s="1"/>
  <c r="H13" i="25"/>
  <c r="H13" i="26" s="1"/>
  <c r="I13" i="25"/>
  <c r="I13" i="26" s="1"/>
  <c r="J13" i="25"/>
  <c r="J13" i="26" s="1"/>
  <c r="G14" i="25"/>
  <c r="G14" i="26" s="1"/>
  <c r="H14" i="25"/>
  <c r="H14" i="26" s="1"/>
  <c r="I14" i="25"/>
  <c r="I14" i="26" s="1"/>
  <c r="J14" i="25"/>
  <c r="J14" i="26" s="1"/>
  <c r="G15" i="25"/>
  <c r="G15" i="26" s="1"/>
  <c r="H15" i="25"/>
  <c r="H15" i="26" s="1"/>
  <c r="I15" i="25"/>
  <c r="I15" i="26" s="1"/>
  <c r="J15" i="25"/>
  <c r="J15" i="26" s="1"/>
  <c r="G16" i="25"/>
  <c r="G16" i="26" s="1"/>
  <c r="H16" i="25"/>
  <c r="H16" i="26" s="1"/>
  <c r="I16" i="25"/>
  <c r="I16" i="26" s="1"/>
  <c r="J16" i="25"/>
  <c r="J16" i="26" s="1"/>
  <c r="G17" i="25"/>
  <c r="G17" i="26" s="1"/>
  <c r="H17" i="25"/>
  <c r="H17" i="26" s="1"/>
  <c r="I17" i="25"/>
  <c r="I17" i="26" s="1"/>
  <c r="J17" i="25"/>
  <c r="J17" i="26" s="1"/>
  <c r="G18" i="25"/>
  <c r="G18" i="26" s="1"/>
  <c r="H18" i="25"/>
  <c r="H18" i="26" s="1"/>
  <c r="I18" i="25"/>
  <c r="I18" i="26" s="1"/>
  <c r="J18" i="25"/>
  <c r="J18" i="26" s="1"/>
  <c r="G19" i="25"/>
  <c r="G19" i="26" s="1"/>
  <c r="H19" i="25"/>
  <c r="H19" i="26" s="1"/>
  <c r="I19" i="25"/>
  <c r="I19" i="26" s="1"/>
  <c r="J19" i="25"/>
  <c r="J19" i="26" s="1"/>
  <c r="G20" i="25"/>
  <c r="G20" i="26" s="1"/>
  <c r="H20" i="25"/>
  <c r="H20" i="26" s="1"/>
  <c r="I20" i="25"/>
  <c r="I20" i="26" s="1"/>
  <c r="J20" i="25"/>
  <c r="J20" i="26" s="1"/>
  <c r="G21" i="25"/>
  <c r="G21" i="26" s="1"/>
  <c r="H21" i="25"/>
  <c r="H21" i="26" s="1"/>
  <c r="I21" i="25"/>
  <c r="I21" i="26" s="1"/>
  <c r="J21" i="25"/>
  <c r="J21" i="26" s="1"/>
  <c r="G22" i="25"/>
  <c r="G22" i="26" s="1"/>
  <c r="H22" i="25"/>
  <c r="H22" i="26" s="1"/>
  <c r="I22" i="25"/>
  <c r="I22" i="26" s="1"/>
  <c r="J22" i="25"/>
  <c r="J22" i="26" s="1"/>
  <c r="G23" i="25"/>
  <c r="G23" i="26" s="1"/>
  <c r="H23" i="25"/>
  <c r="H23" i="26" s="1"/>
  <c r="I23" i="25"/>
  <c r="I23" i="26" s="1"/>
  <c r="J23" i="25"/>
  <c r="J23" i="26" s="1"/>
  <c r="G24" i="25"/>
  <c r="G24" i="26" s="1"/>
  <c r="H24" i="25"/>
  <c r="H24" i="26" s="1"/>
  <c r="I24" i="25"/>
  <c r="I24" i="26" s="1"/>
  <c r="J24" i="25"/>
  <c r="J24" i="26" s="1"/>
  <c r="C25" i="25"/>
  <c r="C25" i="26" s="1"/>
  <c r="E25" i="25"/>
  <c r="E25" i="26" s="1"/>
  <c r="F25" i="25"/>
  <c r="F25" i="26" s="1"/>
  <c r="G25" i="25"/>
  <c r="G25" i="26" s="1"/>
  <c r="H25" i="25"/>
  <c r="H25" i="26" s="1"/>
  <c r="I25" i="25"/>
  <c r="I25" i="26" s="1"/>
  <c r="J25" i="25"/>
  <c r="J25" i="26" s="1"/>
  <c r="C26" i="25"/>
  <c r="C26" i="26" s="1"/>
  <c r="E26" i="25"/>
  <c r="E26" i="26" s="1"/>
  <c r="F26" i="25"/>
  <c r="F26" i="26" s="1"/>
  <c r="G26" i="25"/>
  <c r="G26" i="26" s="1"/>
  <c r="H26" i="25"/>
  <c r="H26" i="26" s="1"/>
  <c r="I26" i="25"/>
  <c r="I26" i="26" s="1"/>
  <c r="J26" i="25"/>
  <c r="J26" i="26" s="1"/>
  <c r="C27" i="25"/>
  <c r="C27" i="26" s="1"/>
  <c r="E27" i="25"/>
  <c r="E27" i="26" s="1"/>
  <c r="F27" i="25"/>
  <c r="F27" i="26" s="1"/>
  <c r="G27" i="25"/>
  <c r="G27" i="26" s="1"/>
  <c r="H27" i="25"/>
  <c r="H27" i="26" s="1"/>
  <c r="I27" i="25"/>
  <c r="I27" i="26" s="1"/>
  <c r="J27" i="25"/>
  <c r="J27" i="26" s="1"/>
  <c r="C28" i="25"/>
  <c r="C28" i="26" s="1"/>
  <c r="E28" i="25"/>
  <c r="E28" i="26" s="1"/>
  <c r="F28" i="25"/>
  <c r="F28" i="26" s="1"/>
  <c r="G28" i="25"/>
  <c r="G28" i="26" s="1"/>
  <c r="H28" i="25"/>
  <c r="H28" i="26" s="1"/>
  <c r="I28" i="25"/>
  <c r="I28" i="26" s="1"/>
  <c r="J28" i="25"/>
  <c r="J28" i="26" s="1"/>
  <c r="C29" i="25"/>
  <c r="C29" i="26" s="1"/>
  <c r="E29" i="25"/>
  <c r="E29" i="26" s="1"/>
  <c r="F29" i="25"/>
  <c r="F29" i="26" s="1"/>
  <c r="G29" i="25"/>
  <c r="G29" i="26" s="1"/>
  <c r="H29" i="25"/>
  <c r="H29" i="26" s="1"/>
  <c r="I29" i="25"/>
  <c r="I29" i="26" s="1"/>
  <c r="J29" i="25"/>
  <c r="J29" i="26" s="1"/>
  <c r="C30" i="25"/>
  <c r="C30" i="26" s="1"/>
  <c r="E30" i="25"/>
  <c r="E30" i="26" s="1"/>
  <c r="F30" i="25"/>
  <c r="F30" i="26" s="1"/>
  <c r="G30" i="25"/>
  <c r="G30" i="26" s="1"/>
  <c r="H30" i="25"/>
  <c r="H30" i="26" s="1"/>
  <c r="I30" i="25"/>
  <c r="I30" i="26" s="1"/>
  <c r="J30" i="25"/>
  <c r="J30" i="26" s="1"/>
  <c r="C31" i="25"/>
  <c r="C31" i="26" s="1"/>
  <c r="E31" i="25"/>
  <c r="E31" i="26" s="1"/>
  <c r="F31" i="25"/>
  <c r="F31" i="26" s="1"/>
  <c r="G31" i="25"/>
  <c r="G31" i="26" s="1"/>
  <c r="H31" i="25"/>
  <c r="H31" i="26" s="1"/>
  <c r="I31" i="25"/>
  <c r="I31" i="26" s="1"/>
  <c r="J31" i="25"/>
  <c r="J31" i="26" s="1"/>
  <c r="C32" i="25"/>
  <c r="C32" i="26" s="1"/>
  <c r="E32" i="25"/>
  <c r="E32" i="26" s="1"/>
  <c r="F32" i="25"/>
  <c r="F32" i="26" s="1"/>
  <c r="G32" i="25"/>
  <c r="G32" i="26" s="1"/>
  <c r="H32" i="25"/>
  <c r="H32" i="26" s="1"/>
  <c r="I32" i="25"/>
  <c r="I32" i="26" s="1"/>
  <c r="J32" i="25"/>
  <c r="J32" i="26" s="1"/>
  <c r="C33" i="25"/>
  <c r="C33" i="26" s="1"/>
  <c r="E33" i="25"/>
  <c r="E33" i="26" s="1"/>
  <c r="F33" i="25"/>
  <c r="F33" i="26" s="1"/>
  <c r="G33" i="25"/>
  <c r="G33" i="26" s="1"/>
  <c r="H33" i="25"/>
  <c r="H33" i="26" s="1"/>
  <c r="I33" i="25"/>
  <c r="I33" i="26" s="1"/>
  <c r="J33" i="25"/>
  <c r="J33" i="26" s="1"/>
  <c r="C34" i="25"/>
  <c r="C34" i="26" s="1"/>
  <c r="E34" i="25"/>
  <c r="E34" i="26" s="1"/>
  <c r="F34" i="25"/>
  <c r="F34" i="26" s="1"/>
  <c r="G34" i="25"/>
  <c r="G34" i="26" s="1"/>
  <c r="H34" i="25"/>
  <c r="H34" i="26" s="1"/>
  <c r="J34" i="25"/>
  <c r="J34" i="26" s="1"/>
  <c r="C35" i="25"/>
  <c r="C35" i="26" s="1"/>
  <c r="E35" i="25"/>
  <c r="E35" i="26" s="1"/>
  <c r="F35" i="25"/>
  <c r="F35" i="26" s="1"/>
  <c r="G35" i="25"/>
  <c r="G35" i="26" s="1"/>
  <c r="H35" i="25"/>
  <c r="H35" i="26" s="1"/>
  <c r="I35" i="25"/>
  <c r="I35" i="26" s="1"/>
  <c r="J35" i="25"/>
  <c r="J35" i="26" s="1"/>
  <c r="C36" i="25"/>
  <c r="C36" i="26" s="1"/>
  <c r="E36" i="25"/>
  <c r="E36" i="26" s="1"/>
  <c r="F36" i="25"/>
  <c r="F36" i="26" s="1"/>
  <c r="G36" i="25"/>
  <c r="G36" i="26" s="1"/>
  <c r="H36" i="25"/>
  <c r="H36" i="26" s="1"/>
  <c r="I36" i="25"/>
  <c r="D42" i="25" s="1"/>
  <c r="J36" i="25"/>
  <c r="J36" i="26" s="1"/>
  <c r="C37" i="25"/>
  <c r="C37" i="26" s="1"/>
  <c r="E37" i="25"/>
  <c r="E37" i="26" s="1"/>
  <c r="F37" i="25"/>
  <c r="F37" i="26" s="1"/>
  <c r="G37" i="25"/>
  <c r="G37" i="26" s="1"/>
  <c r="H37" i="25"/>
  <c r="H37" i="26" s="1"/>
  <c r="I37" i="25"/>
  <c r="D43" i="25" s="1"/>
  <c r="J37" i="25"/>
  <c r="J37" i="26" s="1"/>
  <c r="C38" i="25"/>
  <c r="C38" i="26" s="1"/>
  <c r="E38" i="25"/>
  <c r="E38" i="26" s="1"/>
  <c r="F38" i="25"/>
  <c r="F38" i="26" s="1"/>
  <c r="G38" i="25"/>
  <c r="G38" i="26" s="1"/>
  <c r="H38" i="25"/>
  <c r="H38" i="26" s="1"/>
  <c r="J38" i="25"/>
  <c r="J38" i="26" s="1"/>
  <c r="C39" i="25"/>
  <c r="C39" i="26" s="1"/>
  <c r="E39" i="25"/>
  <c r="E39" i="26" s="1"/>
  <c r="F39" i="25"/>
  <c r="F39" i="26" s="1"/>
  <c r="G39" i="25"/>
  <c r="G39" i="26" s="1"/>
  <c r="H39" i="25"/>
  <c r="H39" i="26" s="1"/>
  <c r="I39" i="25"/>
  <c r="I39" i="26" s="1"/>
  <c r="J39" i="25"/>
  <c r="J39" i="26" s="1"/>
  <c r="C40" i="25"/>
  <c r="C40" i="26" s="1"/>
  <c r="E40" i="25"/>
  <c r="E40" i="26" s="1"/>
  <c r="F40" i="25"/>
  <c r="F40" i="26" s="1"/>
  <c r="G40" i="25"/>
  <c r="G40" i="26" s="1"/>
  <c r="H40" i="25"/>
  <c r="H40" i="26" s="1"/>
  <c r="I40" i="25"/>
  <c r="I40" i="26" s="1"/>
  <c r="J40" i="25"/>
  <c r="J40" i="26" s="1"/>
  <c r="C41" i="25"/>
  <c r="C41" i="26" s="1"/>
  <c r="E41" i="25"/>
  <c r="E41" i="26" s="1"/>
  <c r="F41" i="25"/>
  <c r="F41" i="26" s="1"/>
  <c r="G41" i="25"/>
  <c r="G41" i="26" s="1"/>
  <c r="H41" i="25"/>
  <c r="H41" i="26" s="1"/>
  <c r="J41" i="25"/>
  <c r="J41" i="26" s="1"/>
  <c r="C42" i="25"/>
  <c r="C42" i="26" s="1"/>
  <c r="E42" i="25"/>
  <c r="E42" i="26" s="1"/>
  <c r="F42" i="25"/>
  <c r="F42" i="26" s="1"/>
  <c r="G42" i="25"/>
  <c r="G42" i="26" s="1"/>
  <c r="H42" i="25"/>
  <c r="H42" i="26" s="1"/>
  <c r="J42" i="25"/>
  <c r="J42" i="26" s="1"/>
  <c r="C43" i="25"/>
  <c r="C43" i="26" s="1"/>
  <c r="E43" i="25"/>
  <c r="E43" i="26" s="1"/>
  <c r="F43" i="25"/>
  <c r="F43" i="26" s="1"/>
  <c r="G43" i="25"/>
  <c r="G43" i="26" s="1"/>
  <c r="H43" i="25"/>
  <c r="H43" i="26" s="1"/>
  <c r="J43" i="25"/>
  <c r="J43" i="26" s="1"/>
  <c r="C44" i="25"/>
  <c r="C44" i="26" s="1"/>
  <c r="E44" i="25"/>
  <c r="E44" i="26" s="1"/>
  <c r="F44" i="25"/>
  <c r="F44" i="26" s="1"/>
  <c r="G44" i="25"/>
  <c r="G44" i="26" s="1"/>
  <c r="H44" i="25"/>
  <c r="H44" i="26" s="1"/>
  <c r="J44" i="25"/>
  <c r="J44" i="26" s="1"/>
  <c r="C45" i="25"/>
  <c r="C45" i="26" s="1"/>
  <c r="D45" i="25"/>
  <c r="D45" i="26" s="1"/>
  <c r="E45" i="25"/>
  <c r="E45" i="26" s="1"/>
  <c r="F45" i="25"/>
  <c r="F45" i="26" s="1"/>
  <c r="G45" i="25"/>
  <c r="G45" i="26" s="1"/>
  <c r="H45" i="25"/>
  <c r="H45" i="26" s="1"/>
  <c r="J45" i="25"/>
  <c r="J45" i="26" s="1"/>
  <c r="C46" i="25"/>
  <c r="C46" i="26" s="1"/>
  <c r="D46" i="25"/>
  <c r="D46" i="26" s="1"/>
  <c r="E46" i="25"/>
  <c r="E46" i="26" s="1"/>
  <c r="F46" i="25"/>
  <c r="F46" i="26" s="1"/>
  <c r="G46" i="25"/>
  <c r="G46" i="26" s="1"/>
  <c r="H46" i="25"/>
  <c r="H46" i="26" s="1"/>
  <c r="I46" i="25"/>
  <c r="I46" i="26" s="1"/>
  <c r="J46" i="25"/>
  <c r="J46" i="26" s="1"/>
  <c r="C47" i="25"/>
  <c r="C47" i="26" s="1"/>
  <c r="D47" i="25"/>
  <c r="D47" i="26" s="1"/>
  <c r="E47" i="25"/>
  <c r="E47" i="26" s="1"/>
  <c r="F47" i="25"/>
  <c r="F47" i="26" s="1"/>
  <c r="G47" i="25"/>
  <c r="G47" i="26" s="1"/>
  <c r="H47" i="25"/>
  <c r="H47" i="26" s="1"/>
  <c r="J47" i="25"/>
  <c r="J47" i="26" s="1"/>
  <c r="C48" i="25"/>
  <c r="C48" i="26" s="1"/>
  <c r="D48" i="25"/>
  <c r="D48" i="26" s="1"/>
  <c r="E48" i="25"/>
  <c r="E48" i="26" s="1"/>
  <c r="F48" i="25"/>
  <c r="F48" i="26" s="1"/>
  <c r="G48" i="25"/>
  <c r="G48" i="26" s="1"/>
  <c r="H48" i="25"/>
  <c r="H48" i="26" s="1"/>
  <c r="J48" i="25"/>
  <c r="J48" i="26" s="1"/>
  <c r="C49" i="25"/>
  <c r="C49" i="26" s="1"/>
  <c r="D49" i="25"/>
  <c r="D49" i="26" s="1"/>
  <c r="E49" i="25"/>
  <c r="E49" i="26" s="1"/>
  <c r="F49" i="25"/>
  <c r="F49" i="26" s="1"/>
  <c r="G49" i="25"/>
  <c r="G49" i="26" s="1"/>
  <c r="H49" i="25"/>
  <c r="H49" i="26" s="1"/>
  <c r="J49" i="25"/>
  <c r="J49" i="26" s="1"/>
  <c r="C50" i="25"/>
  <c r="C50" i="26" s="1"/>
  <c r="D50" i="25"/>
  <c r="D50" i="26" s="1"/>
  <c r="E50" i="25"/>
  <c r="E50" i="26" s="1"/>
  <c r="F50" i="25"/>
  <c r="F50" i="26" s="1"/>
  <c r="G50" i="25"/>
  <c r="G50" i="26" s="1"/>
  <c r="H50" i="25"/>
  <c r="H50" i="26" s="1"/>
  <c r="I50" i="25"/>
  <c r="D37" i="25" s="1"/>
  <c r="J50" i="25"/>
  <c r="J50" i="26" s="1"/>
  <c r="C51" i="25"/>
  <c r="C51" i="26" s="1"/>
  <c r="D51" i="25"/>
  <c r="D51" i="26" s="1"/>
  <c r="E51" i="25"/>
  <c r="E51" i="26" s="1"/>
  <c r="F51" i="25"/>
  <c r="F51" i="26" s="1"/>
  <c r="G51" i="25"/>
  <c r="G51" i="26" s="1"/>
  <c r="H51" i="25"/>
  <c r="H51" i="26" s="1"/>
  <c r="I51" i="25"/>
  <c r="I51" i="26" s="1"/>
  <c r="J51" i="25"/>
  <c r="J51" i="26" s="1"/>
  <c r="C52" i="25"/>
  <c r="C52" i="26" s="1"/>
  <c r="D52" i="25"/>
  <c r="D52" i="26" s="1"/>
  <c r="E52" i="25"/>
  <c r="E52" i="26" s="1"/>
  <c r="F52" i="25"/>
  <c r="F52" i="26" s="1"/>
  <c r="G52" i="25"/>
  <c r="G52" i="26" s="1"/>
  <c r="H52" i="25"/>
  <c r="H52" i="26" s="1"/>
  <c r="I52" i="25"/>
  <c r="I52" i="26" s="1"/>
  <c r="J52" i="25"/>
  <c r="J52" i="26" s="1"/>
  <c r="C53" i="25"/>
  <c r="C53" i="26" s="1"/>
  <c r="D53" i="25"/>
  <c r="D53" i="26" s="1"/>
  <c r="E53" i="25"/>
  <c r="E53" i="26" s="1"/>
  <c r="F53" i="25"/>
  <c r="F53" i="26" s="1"/>
  <c r="G53" i="25"/>
  <c r="G53" i="26" s="1"/>
  <c r="H53" i="25"/>
  <c r="H53" i="26" s="1"/>
  <c r="I53" i="25"/>
  <c r="I53" i="26" s="1"/>
  <c r="J53" i="25"/>
  <c r="J53" i="26" s="1"/>
  <c r="C54" i="25"/>
  <c r="C54" i="26" s="1"/>
  <c r="D54" i="25"/>
  <c r="D54" i="26" s="1"/>
  <c r="E54" i="25"/>
  <c r="E54" i="26" s="1"/>
  <c r="F54" i="25"/>
  <c r="F54" i="26" s="1"/>
  <c r="G54" i="25"/>
  <c r="G54" i="26" s="1"/>
  <c r="H54" i="25"/>
  <c r="H54" i="26" s="1"/>
  <c r="I54" i="25"/>
  <c r="I54" i="26" s="1"/>
  <c r="J54" i="25"/>
  <c r="J54" i="26" s="1"/>
  <c r="C55" i="25"/>
  <c r="C55" i="26" s="1"/>
  <c r="D55" i="25"/>
  <c r="D55" i="26" s="1"/>
  <c r="E55" i="25"/>
  <c r="E55" i="26" s="1"/>
  <c r="F55" i="25"/>
  <c r="F55" i="26" s="1"/>
  <c r="G55" i="25"/>
  <c r="G55" i="26" s="1"/>
  <c r="H55" i="25"/>
  <c r="H55" i="26" s="1"/>
  <c r="J55" i="25"/>
  <c r="J55" i="26" s="1"/>
  <c r="C56" i="25"/>
  <c r="C56" i="26" s="1"/>
  <c r="D56" i="25"/>
  <c r="D56" i="26" s="1"/>
  <c r="E56" i="25"/>
  <c r="E56" i="26" s="1"/>
  <c r="F56" i="25"/>
  <c r="F56" i="26" s="1"/>
  <c r="G56" i="25"/>
  <c r="G56" i="26" s="1"/>
  <c r="H56" i="25"/>
  <c r="H56" i="26" s="1"/>
  <c r="I56" i="25"/>
  <c r="I56" i="26" s="1"/>
  <c r="J56" i="25"/>
  <c r="J56" i="26" s="1"/>
  <c r="C57" i="25"/>
  <c r="C57" i="26" s="1"/>
  <c r="D57" i="25"/>
  <c r="D57" i="26" s="1"/>
  <c r="E57" i="25"/>
  <c r="E57" i="26" s="1"/>
  <c r="F57" i="25"/>
  <c r="F57" i="26" s="1"/>
  <c r="G57" i="25"/>
  <c r="G57" i="26" s="1"/>
  <c r="H57" i="25"/>
  <c r="H57" i="26" s="1"/>
  <c r="J57" i="25"/>
  <c r="J57" i="26" s="1"/>
  <c r="C58" i="25"/>
  <c r="C58" i="26" s="1"/>
  <c r="D58" i="25"/>
  <c r="D58" i="26" s="1"/>
  <c r="E58" i="25"/>
  <c r="E58" i="26" s="1"/>
  <c r="F58" i="25"/>
  <c r="F58" i="26" s="1"/>
  <c r="G58" i="25"/>
  <c r="G58" i="26" s="1"/>
  <c r="H58" i="25"/>
  <c r="H58" i="26" s="1"/>
  <c r="I58" i="25"/>
  <c r="I58" i="26" s="1"/>
  <c r="J58" i="25"/>
  <c r="J58" i="26" s="1"/>
  <c r="C59" i="25"/>
  <c r="C59" i="26" s="1"/>
  <c r="D59" i="25"/>
  <c r="D59" i="26" s="1"/>
  <c r="E59" i="25"/>
  <c r="E59" i="26" s="1"/>
  <c r="F59" i="25"/>
  <c r="F59" i="26" s="1"/>
  <c r="G59" i="25"/>
  <c r="G59" i="26" s="1"/>
  <c r="H59" i="25"/>
  <c r="H59" i="26" s="1"/>
  <c r="I59" i="25"/>
  <c r="I59" i="26" s="1"/>
  <c r="J59" i="25"/>
  <c r="J59" i="26" s="1"/>
  <c r="C60" i="25"/>
  <c r="C60" i="26" s="1"/>
  <c r="D60" i="25"/>
  <c r="D60" i="26" s="1"/>
  <c r="E60" i="25"/>
  <c r="E60" i="26" s="1"/>
  <c r="F60" i="25"/>
  <c r="F60" i="26" s="1"/>
  <c r="G60" i="25"/>
  <c r="G60" i="26" s="1"/>
  <c r="H60" i="25"/>
  <c r="H60" i="26" s="1"/>
  <c r="I60" i="25"/>
  <c r="I60" i="26" s="1"/>
  <c r="J60" i="25"/>
  <c r="J60" i="26" s="1"/>
  <c r="C61" i="25"/>
  <c r="C61" i="26" s="1"/>
  <c r="D61" i="25"/>
  <c r="D61" i="26" s="1"/>
  <c r="E61" i="25"/>
  <c r="E61" i="26" s="1"/>
  <c r="F61" i="25"/>
  <c r="F61" i="26" s="1"/>
  <c r="G61" i="25"/>
  <c r="G61" i="26" s="1"/>
  <c r="H61" i="25"/>
  <c r="H61" i="26" s="1"/>
  <c r="I61" i="25"/>
  <c r="I61" i="26" s="1"/>
  <c r="J61" i="25"/>
  <c r="J61" i="26" s="1"/>
  <c r="C62" i="25"/>
  <c r="C62" i="26" s="1"/>
  <c r="D62" i="25"/>
  <c r="D62" i="26" s="1"/>
  <c r="E62" i="25"/>
  <c r="E62" i="26" s="1"/>
  <c r="F62" i="25"/>
  <c r="F62" i="26" s="1"/>
  <c r="G62" i="25"/>
  <c r="G62" i="26" s="1"/>
  <c r="H62" i="25"/>
  <c r="H62" i="26" s="1"/>
  <c r="I62" i="25"/>
  <c r="I62" i="26" s="1"/>
  <c r="J62" i="25"/>
  <c r="J62" i="26" s="1"/>
  <c r="C63" i="25"/>
  <c r="C63" i="26" s="1"/>
  <c r="D63" i="25"/>
  <c r="D63" i="26" s="1"/>
  <c r="E63" i="25"/>
  <c r="E63" i="26" s="1"/>
  <c r="F63" i="25"/>
  <c r="F63" i="26" s="1"/>
  <c r="G63" i="25"/>
  <c r="G63" i="26" s="1"/>
  <c r="H63" i="25"/>
  <c r="H63" i="26" s="1"/>
  <c r="I63" i="25"/>
  <c r="I63" i="26" s="1"/>
  <c r="J63" i="25"/>
  <c r="J63" i="26" s="1"/>
  <c r="C64" i="25"/>
  <c r="C64" i="26" s="1"/>
  <c r="D64" i="25"/>
  <c r="D64" i="26" s="1"/>
  <c r="E64" i="25"/>
  <c r="E64" i="26" s="1"/>
  <c r="F64" i="25"/>
  <c r="F64" i="26" s="1"/>
  <c r="G64" i="25"/>
  <c r="G64" i="26" s="1"/>
  <c r="H64" i="25"/>
  <c r="H64" i="26" s="1"/>
  <c r="I64" i="25"/>
  <c r="I64" i="26" s="1"/>
  <c r="J64" i="25"/>
  <c r="J64" i="26" s="1"/>
  <c r="C65" i="25"/>
  <c r="C65" i="26" s="1"/>
  <c r="D65" i="25"/>
  <c r="D65" i="26" s="1"/>
  <c r="E65" i="25"/>
  <c r="E65" i="26" s="1"/>
  <c r="F65" i="25"/>
  <c r="F65" i="26" s="1"/>
  <c r="G65" i="25"/>
  <c r="G65" i="26" s="1"/>
  <c r="H65" i="25"/>
  <c r="H65" i="26" s="1"/>
  <c r="I65" i="25"/>
  <c r="I65" i="26" s="1"/>
  <c r="J65" i="25"/>
  <c r="J65" i="26" s="1"/>
  <c r="C66" i="25"/>
  <c r="C66" i="26" s="1"/>
  <c r="D66" i="25"/>
  <c r="D66" i="26" s="1"/>
  <c r="E66" i="25"/>
  <c r="E66" i="26" s="1"/>
  <c r="F66" i="25"/>
  <c r="F66" i="26" s="1"/>
  <c r="G66" i="25"/>
  <c r="G66" i="26" s="1"/>
  <c r="H66" i="25"/>
  <c r="H66" i="26" s="1"/>
  <c r="I66" i="25"/>
  <c r="I66" i="26" s="1"/>
  <c r="J66" i="25"/>
  <c r="J66" i="26" s="1"/>
  <c r="C67" i="25"/>
  <c r="C67" i="26" s="1"/>
  <c r="D67" i="25"/>
  <c r="D67" i="26" s="1"/>
  <c r="E67" i="25"/>
  <c r="E67" i="26" s="1"/>
  <c r="F67" i="25"/>
  <c r="F67" i="26" s="1"/>
  <c r="G67" i="25"/>
  <c r="G67" i="26" s="1"/>
  <c r="H67" i="25"/>
  <c r="H67" i="26" s="1"/>
  <c r="I67" i="25"/>
  <c r="I67" i="26" s="1"/>
  <c r="J67" i="25"/>
  <c r="J67" i="26" s="1"/>
  <c r="C68" i="25"/>
  <c r="C68" i="26" s="1"/>
  <c r="D68" i="25"/>
  <c r="D68" i="26" s="1"/>
  <c r="E68" i="25"/>
  <c r="E68" i="26" s="1"/>
  <c r="F68" i="25"/>
  <c r="F68" i="26" s="1"/>
  <c r="G68" i="25"/>
  <c r="G68" i="26" s="1"/>
  <c r="H68" i="25"/>
  <c r="H68" i="26" s="1"/>
  <c r="I68" i="25"/>
  <c r="I68" i="26" s="1"/>
  <c r="J68" i="25"/>
  <c r="J68" i="26" s="1"/>
  <c r="C69" i="25"/>
  <c r="C69" i="26" s="1"/>
  <c r="D69" i="25"/>
  <c r="D69" i="26" s="1"/>
  <c r="E69" i="25"/>
  <c r="E69" i="26" s="1"/>
  <c r="F69" i="25"/>
  <c r="F69" i="26" s="1"/>
  <c r="G69" i="25"/>
  <c r="G69" i="26" s="1"/>
  <c r="H69" i="25"/>
  <c r="H69" i="26" s="1"/>
  <c r="I69" i="25"/>
  <c r="I69" i="26" s="1"/>
  <c r="J69" i="25"/>
  <c r="J69" i="26" s="1"/>
  <c r="C70" i="25"/>
  <c r="C70" i="26" s="1"/>
  <c r="D70" i="25"/>
  <c r="D70" i="26" s="1"/>
  <c r="E70" i="25"/>
  <c r="E70" i="26" s="1"/>
  <c r="F70" i="25"/>
  <c r="F70" i="26" s="1"/>
  <c r="G70" i="25"/>
  <c r="G70" i="26" s="1"/>
  <c r="H70" i="25"/>
  <c r="H70" i="26" s="1"/>
  <c r="I70" i="25"/>
  <c r="I70" i="26" s="1"/>
  <c r="J70" i="25"/>
  <c r="J70" i="26" s="1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E3" i="26" s="1"/>
  <c r="F3" i="25"/>
  <c r="F3" i="26" s="1"/>
  <c r="G3" i="25"/>
  <c r="G3" i="26" s="1"/>
  <c r="H3" i="25"/>
  <c r="H3" i="26" s="1"/>
  <c r="J3" i="25"/>
  <c r="J3" i="26" s="1"/>
  <c r="C3" i="25"/>
  <c r="C3" i="26" s="1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J47" i="40"/>
  <c r="C48" i="40"/>
  <c r="D48" i="40"/>
  <c r="E48" i="40"/>
  <c r="F48" i="40"/>
  <c r="G48" i="40"/>
  <c r="H48" i="40"/>
  <c r="J48" i="40"/>
  <c r="C49" i="40"/>
  <c r="D49" i="40"/>
  <c r="E49" i="40"/>
  <c r="F49" i="40"/>
  <c r="G49" i="40"/>
  <c r="H49" i="40"/>
  <c r="J49" i="40"/>
  <c r="C50" i="40"/>
  <c r="D50" i="40"/>
  <c r="E50" i="40"/>
  <c r="F50" i="40"/>
  <c r="G50" i="40"/>
  <c r="H50" i="40"/>
  <c r="J50" i="40"/>
  <c r="C51" i="40"/>
  <c r="D51" i="40"/>
  <c r="E51" i="40"/>
  <c r="F51" i="40"/>
  <c r="G51" i="40"/>
  <c r="H51" i="40"/>
  <c r="J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D44" i="25" l="1"/>
  <c r="I12" i="26"/>
  <c r="D38" i="25"/>
  <c r="D41" i="25"/>
  <c r="D25" i="25"/>
  <c r="D25" i="26" s="1"/>
  <c r="I50" i="26"/>
  <c r="I36" i="26"/>
  <c r="D39" i="25"/>
  <c r="I57" i="25"/>
  <c r="I37" i="26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J49" i="35" l="1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5" i="33"/>
  <c r="D26" i="33"/>
  <c r="D27" i="33"/>
  <c r="I47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D28" i="32"/>
  <c r="D28" i="33" s="1"/>
  <c r="D29" i="32"/>
  <c r="D29" i="34" s="1"/>
  <c r="D30" i="32"/>
  <c r="D30" i="34" s="1"/>
  <c r="D31" i="32"/>
  <c r="D31" i="33" s="1"/>
  <c r="D32" i="32"/>
  <c r="D32" i="33" s="1"/>
  <c r="D33" i="32"/>
  <c r="D33" i="34" s="1"/>
  <c r="D34" i="32"/>
  <c r="D34" i="34" s="1"/>
  <c r="I34" i="32"/>
  <c r="I34" i="34" s="1"/>
  <c r="I38" i="32"/>
  <c r="I38" i="34" s="1"/>
  <c r="D39" i="32"/>
  <c r="D39" i="34" s="1"/>
  <c r="I41" i="32"/>
  <c r="I41" i="34" s="1"/>
  <c r="I42" i="32"/>
  <c r="I42" i="33" s="1"/>
  <c r="I43" i="32"/>
  <c r="I43" i="33" s="1"/>
  <c r="I45" i="32"/>
  <c r="I45" i="34" s="1"/>
  <c r="I48" i="32"/>
  <c r="I48" i="34" s="1"/>
  <c r="I49" i="32"/>
  <c r="I49" i="34" s="1"/>
  <c r="D3" i="32"/>
  <c r="D3" i="34" s="1"/>
  <c r="I3" i="32"/>
  <c r="I3" i="34" s="1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I10" i="32"/>
  <c r="I10" i="34" s="1"/>
  <c r="I15" i="32"/>
  <c r="D35" i="32"/>
  <c r="D36" i="32"/>
  <c r="D37" i="32"/>
  <c r="D38" i="32"/>
  <c r="D40" i="32"/>
  <c r="D41" i="32"/>
  <c r="D42" i="32"/>
  <c r="D43" i="32"/>
  <c r="I44" i="32"/>
  <c r="I44" i="33" s="1"/>
  <c r="I55" i="32"/>
  <c r="I55" i="34" s="1"/>
  <c r="I8" i="32"/>
  <c r="I52" i="32"/>
  <c r="J52" i="32"/>
  <c r="I53" i="32"/>
  <c r="I62" i="32"/>
  <c r="D5" i="10"/>
  <c r="I58" i="32"/>
  <c r="D4" i="32"/>
  <c r="D4" i="34" s="1"/>
  <c r="I6" i="32"/>
  <c r="D30" i="35"/>
  <c r="D30" i="39" s="1"/>
  <c r="D25" i="10"/>
  <c r="C25" i="10"/>
  <c r="D39" i="33" l="1"/>
  <c r="D29" i="33"/>
  <c r="I3" i="33"/>
  <c r="I42" i="34"/>
  <c r="I41" i="33"/>
  <c r="D30" i="33"/>
  <c r="D28" i="34"/>
  <c r="I49" i="33"/>
  <c r="I38" i="33"/>
  <c r="I48" i="33"/>
  <c r="I34" i="33"/>
  <c r="D31" i="34"/>
  <c r="I43" i="34"/>
  <c r="D34" i="33"/>
  <c r="D32" i="34"/>
  <c r="I45" i="33"/>
  <c r="D33" i="33"/>
  <c r="D41" i="33"/>
  <c r="D41" i="34"/>
  <c r="D43" i="34"/>
  <c r="D43" i="33"/>
  <c r="D42" i="34"/>
  <c r="D42" i="33"/>
  <c r="D38" i="34"/>
  <c r="D38" i="33"/>
  <c r="I15" i="33"/>
  <c r="I15" i="34"/>
  <c r="D40" i="34"/>
  <c r="D40" i="33"/>
  <c r="D37" i="34"/>
  <c r="D37" i="33"/>
  <c r="D36" i="34"/>
  <c r="D36" i="33"/>
  <c r="D35" i="34"/>
  <c r="D35" i="33"/>
  <c r="I44" i="34"/>
  <c r="I52" i="34"/>
  <c r="I52" i="33"/>
  <c r="I8" i="34"/>
  <c r="I8" i="33"/>
  <c r="I53" i="34"/>
  <c r="I53" i="33"/>
  <c r="J52" i="34"/>
  <c r="J52" i="33"/>
  <c r="I62" i="34"/>
  <c r="I62" i="33"/>
  <c r="E6" i="32"/>
  <c r="E3" i="32"/>
  <c r="I58" i="33"/>
  <c r="I58" i="34"/>
  <c r="I6" i="33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E6" i="34" l="1"/>
  <c r="E6" i="33"/>
  <c r="C78" i="29"/>
  <c r="C78" i="34"/>
  <c r="C78" i="33"/>
  <c r="C78" i="30"/>
  <c r="C78" i="32"/>
  <c r="C78" i="28"/>
  <c r="E78" i="34"/>
  <c r="E78" i="33"/>
  <c r="E78" i="30"/>
  <c r="E78" i="32"/>
  <c r="E78" i="28"/>
  <c r="E78" i="29"/>
  <c r="D78" i="34"/>
  <c r="D78" i="29"/>
  <c r="D78" i="33"/>
  <c r="D78" i="30"/>
  <c r="D78" i="32"/>
  <c r="D78" i="28"/>
  <c r="F78" i="33"/>
  <c r="F78" i="30"/>
  <c r="F78" i="32"/>
  <c r="F78" i="28"/>
  <c r="F78" i="29"/>
  <c r="F78" i="34"/>
  <c r="E3" i="33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I9" i="32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J8" i="32"/>
  <c r="H6" i="35"/>
  <c r="H6" i="39" s="1"/>
  <c r="H5" i="35"/>
  <c r="H5" i="39" s="1"/>
  <c r="E4" i="32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J10" i="32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J49" i="32"/>
  <c r="J57" i="32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C5" i="35" l="1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H31" i="32"/>
  <c r="J75" i="35"/>
  <c r="J75" i="39" s="1"/>
  <c r="J71" i="35"/>
  <c r="J71" i="39" s="1"/>
  <c r="G31" i="32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J75" i="32"/>
  <c r="J45" i="32"/>
  <c r="C33" i="32"/>
  <c r="I67" i="32"/>
  <c r="J33" i="32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3"/>
  <c r="B31" i="32"/>
  <c r="B31" i="34"/>
  <c r="B31" i="39"/>
  <c r="B35" i="32"/>
  <c r="B35" i="39"/>
  <c r="B35" i="35"/>
  <c r="B35" i="34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32"/>
  <c r="H49" i="35"/>
  <c r="H49" i="39" s="1"/>
  <c r="H45" i="32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0" i="33"/>
  <c r="B30" i="32"/>
  <c r="B34" i="33"/>
  <c r="B34" i="32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2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29" i="33"/>
  <c r="B29" i="32"/>
  <c r="B33" i="34"/>
  <c r="B33" i="33"/>
  <c r="B33" i="32"/>
  <c r="B33" i="39"/>
  <c r="B33" i="35"/>
  <c r="B36" i="39"/>
  <c r="B36" i="34"/>
  <c r="B36" i="35"/>
  <c r="B36" i="32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3"/>
  <c r="B26" i="32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2"/>
  <c r="B27" i="39"/>
  <c r="B27" i="35"/>
  <c r="B27" i="34"/>
  <c r="B27" i="33"/>
  <c r="B28" i="39"/>
  <c r="B28" i="32"/>
  <c r="B28" i="35"/>
  <c r="B28" i="34"/>
  <c r="B28" i="33"/>
  <c r="B32" i="33"/>
  <c r="B32" i="34"/>
  <c r="B32" i="32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6" i="32"/>
  <c r="H45" i="35"/>
  <c r="H45" i="39" s="1"/>
  <c r="H44" i="35"/>
  <c r="H44" i="39" s="1"/>
  <c r="H38" i="35"/>
  <c r="H38" i="39" s="1"/>
  <c r="H34" i="35"/>
  <c r="H34" i="39" s="1"/>
  <c r="I50" i="32"/>
  <c r="F27" i="32"/>
  <c r="G5" i="32"/>
  <c r="F37" i="32"/>
  <c r="C53" i="32"/>
  <c r="E74" i="32"/>
  <c r="E73" i="32"/>
  <c r="F63" i="32"/>
  <c r="D51" i="32"/>
  <c r="D45" i="32"/>
  <c r="E34" i="32"/>
  <c r="F30" i="32"/>
  <c r="C51" i="32"/>
  <c r="E27" i="32"/>
  <c r="J61" i="32"/>
  <c r="F5" i="32"/>
  <c r="C49" i="32"/>
  <c r="E48" i="32"/>
  <c r="D73" i="32"/>
  <c r="C46" i="32"/>
  <c r="G25" i="32"/>
  <c r="D55" i="32"/>
  <c r="G7" i="32"/>
  <c r="I69" i="32"/>
  <c r="F35" i="32"/>
  <c r="I9" i="33"/>
  <c r="I9" i="34"/>
  <c r="J65" i="32"/>
  <c r="E32" i="32"/>
  <c r="G13" i="32"/>
  <c r="D61" i="32"/>
  <c r="E67" i="32"/>
  <c r="F40" i="32"/>
  <c r="F59" i="32"/>
  <c r="E55" i="32"/>
  <c r="C44" i="35"/>
  <c r="C44" i="39" s="1"/>
  <c r="C40" i="35"/>
  <c r="C40" i="39" s="1"/>
  <c r="C25" i="35"/>
  <c r="C25" i="39" s="1"/>
  <c r="D25" i="35"/>
  <c r="D25" i="39" s="1"/>
  <c r="I14" i="32"/>
  <c r="I22" i="32"/>
  <c r="F28" i="32"/>
  <c r="E33" i="32"/>
  <c r="F38" i="32"/>
  <c r="F44" i="32"/>
  <c r="D49" i="32"/>
  <c r="J58" i="32"/>
  <c r="J62" i="32"/>
  <c r="J66" i="32"/>
  <c r="C72" i="32"/>
  <c r="E44" i="32"/>
  <c r="F6" i="32"/>
  <c r="G28" i="32"/>
  <c r="F33" i="32"/>
  <c r="F50" i="32"/>
  <c r="J55" i="32"/>
  <c r="C61" i="32"/>
  <c r="C65" i="32"/>
  <c r="C71" i="32"/>
  <c r="I60" i="32"/>
  <c r="G6" i="32"/>
  <c r="G15" i="32"/>
  <c r="G23" i="32"/>
  <c r="H28" i="32"/>
  <c r="F49" i="32"/>
  <c r="J53" i="32"/>
  <c r="C58" i="32"/>
  <c r="D62" i="32"/>
  <c r="D66" i="32"/>
  <c r="D70" i="32"/>
  <c r="D74" i="32"/>
  <c r="C54" i="32"/>
  <c r="E61" i="32"/>
  <c r="E69" i="32"/>
  <c r="E76" i="32"/>
  <c r="I65" i="32"/>
  <c r="H6" i="32"/>
  <c r="H17" i="32"/>
  <c r="F25" i="32"/>
  <c r="E36" i="32"/>
  <c r="F48" i="32"/>
  <c r="D57" i="32"/>
  <c r="E66" i="32"/>
  <c r="E75" i="32"/>
  <c r="F4" i="32"/>
  <c r="I11" i="32"/>
  <c r="I19" i="32"/>
  <c r="H26" i="32"/>
  <c r="E31" i="32"/>
  <c r="F36" i="32"/>
  <c r="D47" i="32"/>
  <c r="E56" i="32"/>
  <c r="F60" i="32"/>
  <c r="F64" i="32"/>
  <c r="F68" i="32"/>
  <c r="F72" i="32"/>
  <c r="F76" i="32"/>
  <c r="I36" i="32"/>
  <c r="H25" i="32"/>
  <c r="E30" i="32"/>
  <c r="E35" i="32"/>
  <c r="E46" i="32"/>
  <c r="J51" i="32"/>
  <c r="F56" i="32"/>
  <c r="E38" i="32"/>
  <c r="H4" i="32"/>
  <c r="G12" i="32"/>
  <c r="G20" i="32"/>
  <c r="F42" i="32"/>
  <c r="F47" i="32"/>
  <c r="C52" i="32"/>
  <c r="I7" i="32"/>
  <c r="H18" i="32"/>
  <c r="I59" i="32"/>
  <c r="I20" i="32"/>
  <c r="E52" i="32"/>
  <c r="C64" i="32"/>
  <c r="G21" i="32"/>
  <c r="C57" i="32"/>
  <c r="E59" i="32"/>
  <c r="I28" i="32"/>
  <c r="E64" i="32"/>
  <c r="F67" i="32"/>
  <c r="D52" i="32"/>
  <c r="J8" i="34"/>
  <c r="J8" i="33"/>
  <c r="D43" i="35"/>
  <c r="D43" i="39" s="1"/>
  <c r="I56" i="32"/>
  <c r="C77" i="32"/>
  <c r="E37" i="32"/>
  <c r="C70" i="32"/>
  <c r="E43" i="32"/>
  <c r="D69" i="32"/>
  <c r="H5" i="32"/>
  <c r="C55" i="32"/>
  <c r="I17" i="32"/>
  <c r="F71" i="32"/>
  <c r="J50" i="32"/>
  <c r="I25" i="32"/>
  <c r="I40" i="32"/>
  <c r="F55" i="32"/>
  <c r="H11" i="32"/>
  <c r="C39" i="35"/>
  <c r="C39" i="39" s="1"/>
  <c r="D41" i="35"/>
  <c r="D41" i="39" s="1"/>
  <c r="I16" i="32"/>
  <c r="I24" i="32"/>
  <c r="G29" i="32"/>
  <c r="F34" i="32"/>
  <c r="I39" i="32"/>
  <c r="E50" i="32"/>
  <c r="J59" i="32"/>
  <c r="J63" i="32"/>
  <c r="J67" i="32"/>
  <c r="I54" i="32"/>
  <c r="C74" i="32"/>
  <c r="I64" i="32"/>
  <c r="G8" i="32"/>
  <c r="H29" i="32"/>
  <c r="I46" i="32"/>
  <c r="F51" i="32"/>
  <c r="J56" i="32"/>
  <c r="C62" i="32"/>
  <c r="C67" i="32"/>
  <c r="C73" i="32"/>
  <c r="H8" i="32"/>
  <c r="G17" i="32"/>
  <c r="E25" i="32"/>
  <c r="I29" i="32"/>
  <c r="E40" i="32"/>
  <c r="J54" i="32"/>
  <c r="D59" i="32"/>
  <c r="D63" i="32"/>
  <c r="D67" i="32"/>
  <c r="D71" i="32"/>
  <c r="D75" i="32"/>
  <c r="C47" i="32"/>
  <c r="D56" i="32"/>
  <c r="E63" i="32"/>
  <c r="E70" i="32"/>
  <c r="E77" i="32"/>
  <c r="H19" i="32"/>
  <c r="G26" i="32"/>
  <c r="G32" i="32"/>
  <c r="F43" i="32"/>
  <c r="E60" i="32"/>
  <c r="E68" i="32"/>
  <c r="I5" i="32"/>
  <c r="I13" i="32"/>
  <c r="I21" i="32"/>
  <c r="I27" i="32"/>
  <c r="H32" i="32"/>
  <c r="D53" i="32"/>
  <c r="E57" i="32"/>
  <c r="F61" i="32"/>
  <c r="F65" i="32"/>
  <c r="F69" i="32"/>
  <c r="F73" i="32"/>
  <c r="F77" i="32"/>
  <c r="G4" i="32"/>
  <c r="I26" i="32"/>
  <c r="F31" i="32"/>
  <c r="E42" i="32"/>
  <c r="E47" i="32"/>
  <c r="E53" i="32"/>
  <c r="F57" i="32"/>
  <c r="H16" i="32"/>
  <c r="C6" i="32"/>
  <c r="G14" i="32"/>
  <c r="G22" i="32"/>
  <c r="J48" i="32"/>
  <c r="F53" i="32"/>
  <c r="H10" i="32"/>
  <c r="H22" i="32"/>
  <c r="E28" i="32"/>
  <c r="C41" i="35"/>
  <c r="C41" i="39" s="1"/>
  <c r="C60" i="32"/>
  <c r="F32" i="32"/>
  <c r="D77" i="32"/>
  <c r="H15" i="32"/>
  <c r="D46" i="32"/>
  <c r="F75" i="32"/>
  <c r="F39" i="32"/>
  <c r="G10" i="32"/>
  <c r="D6" i="32"/>
  <c r="C43" i="35"/>
  <c r="C43" i="39" s="1"/>
  <c r="J10" i="34"/>
  <c r="J10" i="33"/>
  <c r="E4" i="34"/>
  <c r="E4" i="33"/>
  <c r="C37" i="35"/>
  <c r="C37" i="39" s="1"/>
  <c r="C48" i="32"/>
  <c r="C69" i="32"/>
  <c r="E49" i="32"/>
  <c r="G27" i="32"/>
  <c r="D65" i="32"/>
  <c r="H23" i="32"/>
  <c r="G9" i="32"/>
  <c r="H20" i="32"/>
  <c r="G18" i="32"/>
  <c r="F46" i="32"/>
  <c r="D44" i="35"/>
  <c r="D44" i="39" s="1"/>
  <c r="C42" i="35"/>
  <c r="C42" i="39" s="1"/>
  <c r="C38" i="35"/>
  <c r="C38" i="39" s="1"/>
  <c r="C36" i="35"/>
  <c r="C36" i="39" s="1"/>
  <c r="I12" i="32"/>
  <c r="I37" i="32"/>
  <c r="I18" i="32"/>
  <c r="H30" i="32"/>
  <c r="E41" i="32"/>
  <c r="E51" i="32"/>
  <c r="J60" i="32"/>
  <c r="J64" i="32"/>
  <c r="J68" i="32"/>
  <c r="C66" i="32"/>
  <c r="C76" i="32"/>
  <c r="E26" i="32"/>
  <c r="I30" i="32"/>
  <c r="I35" i="32"/>
  <c r="F41" i="32"/>
  <c r="D48" i="32"/>
  <c r="F52" i="32"/>
  <c r="C59" i="32"/>
  <c r="C63" i="32"/>
  <c r="C68" i="32"/>
  <c r="C75" i="32"/>
  <c r="G11" i="32"/>
  <c r="G19" i="32"/>
  <c r="F26" i="32"/>
  <c r="C56" i="32"/>
  <c r="D60" i="32"/>
  <c r="D64" i="32"/>
  <c r="D68" i="32"/>
  <c r="D72" i="32"/>
  <c r="D76" i="32"/>
  <c r="D58" i="32"/>
  <c r="E65" i="32"/>
  <c r="E72" i="32"/>
  <c r="H21" i="32"/>
  <c r="H27" i="32"/>
  <c r="E62" i="32"/>
  <c r="E71" i="32"/>
  <c r="I23" i="32"/>
  <c r="E39" i="32"/>
  <c r="C45" i="32"/>
  <c r="D54" i="32"/>
  <c r="E58" i="32"/>
  <c r="F62" i="32"/>
  <c r="F66" i="32"/>
  <c r="F70" i="32"/>
  <c r="F74" i="32"/>
  <c r="F45" i="32"/>
  <c r="I61" i="32"/>
  <c r="E54" i="32"/>
  <c r="F58" i="32"/>
  <c r="G70" i="32"/>
  <c r="G30" i="32"/>
  <c r="I63" i="32"/>
  <c r="H7" i="32"/>
  <c r="G16" i="32"/>
  <c r="G24" i="32"/>
  <c r="E29" i="32"/>
  <c r="E45" i="32"/>
  <c r="C50" i="32"/>
  <c r="F54" i="32"/>
  <c r="I4" i="32"/>
  <c r="H12" i="32"/>
  <c r="H24" i="32"/>
  <c r="F29" i="32"/>
  <c r="D50" i="32"/>
  <c r="F3" i="32"/>
  <c r="J49" i="34"/>
  <c r="J49" i="33"/>
  <c r="J57" i="34"/>
  <c r="J57" i="33"/>
  <c r="H59" i="32" l="1"/>
  <c r="H59" i="34" s="1"/>
  <c r="J34" i="32"/>
  <c r="J34" i="33" s="1"/>
  <c r="H58" i="32"/>
  <c r="H58" i="34" s="1"/>
  <c r="J71" i="32"/>
  <c r="J71" i="34" s="1"/>
  <c r="G75" i="32"/>
  <c r="G75" i="34" s="1"/>
  <c r="H61" i="32"/>
  <c r="H61" i="33" s="1"/>
  <c r="G50" i="32"/>
  <c r="G50" i="34" s="1"/>
  <c r="I77" i="32"/>
  <c r="I77" i="33" s="1"/>
  <c r="H49" i="32"/>
  <c r="H49" i="34" s="1"/>
  <c r="G66" i="32"/>
  <c r="G66" i="34" s="1"/>
  <c r="C4" i="32"/>
  <c r="C4" i="33" s="1"/>
  <c r="G62" i="32"/>
  <c r="H42" i="32"/>
  <c r="H42" i="34" s="1"/>
  <c r="G44" i="32"/>
  <c r="G44" i="33" s="1"/>
  <c r="J44" i="32"/>
  <c r="J44" i="34" s="1"/>
  <c r="J22" i="32"/>
  <c r="G64" i="32"/>
  <c r="G64" i="33" s="1"/>
  <c r="J38" i="32"/>
  <c r="J38" i="34" s="1"/>
  <c r="I75" i="32"/>
  <c r="I75" i="34" s="1"/>
  <c r="J27" i="32"/>
  <c r="J73" i="32"/>
  <c r="J73" i="34" s="1"/>
  <c r="J20" i="32"/>
  <c r="G74" i="32"/>
  <c r="G74" i="33" s="1"/>
  <c r="G58" i="32"/>
  <c r="J69" i="32"/>
  <c r="J69" i="34" s="1"/>
  <c r="I72" i="32"/>
  <c r="I72" i="34" s="1"/>
  <c r="G51" i="32"/>
  <c r="G51" i="33" s="1"/>
  <c r="J31" i="32"/>
  <c r="G59" i="32"/>
  <c r="G59" i="34" s="1"/>
  <c r="G71" i="32"/>
  <c r="G71" i="34" s="1"/>
  <c r="G48" i="32"/>
  <c r="G48" i="34" s="1"/>
  <c r="J13" i="32"/>
  <c r="H67" i="32"/>
  <c r="H67" i="33" s="1"/>
  <c r="J39" i="32"/>
  <c r="J39" i="33" s="1"/>
  <c r="H33" i="32"/>
  <c r="H33" i="34" s="1"/>
  <c r="J28" i="32"/>
  <c r="G76" i="32"/>
  <c r="G76" i="34" s="1"/>
  <c r="I74" i="32"/>
  <c r="I74" i="34" s="1"/>
  <c r="G55" i="32"/>
  <c r="G55" i="34" s="1"/>
  <c r="J43" i="32"/>
  <c r="G63" i="32"/>
  <c r="G63" i="33" s="1"/>
  <c r="G73" i="32"/>
  <c r="G73" i="34" s="1"/>
  <c r="G56" i="32"/>
  <c r="G56" i="34" s="1"/>
  <c r="J26" i="32"/>
  <c r="C26" i="32"/>
  <c r="C26" i="34" s="1"/>
  <c r="J5" i="32"/>
  <c r="J40" i="32"/>
  <c r="J40" i="34" s="1"/>
  <c r="J21" i="32"/>
  <c r="J77" i="32"/>
  <c r="J77" i="33" s="1"/>
  <c r="I33" i="32"/>
  <c r="I33" i="34" s="1"/>
  <c r="H69" i="32"/>
  <c r="H69" i="33" s="1"/>
  <c r="J29" i="32"/>
  <c r="I76" i="32"/>
  <c r="I76" i="33" s="1"/>
  <c r="J16" i="32"/>
  <c r="J3" i="32"/>
  <c r="J3" i="34" s="1"/>
  <c r="I66" i="32"/>
  <c r="I66" i="34" s="1"/>
  <c r="J4" i="32"/>
  <c r="J37" i="32"/>
  <c r="J37" i="33" s="1"/>
  <c r="H71" i="32"/>
  <c r="H71" i="34" s="1"/>
  <c r="J18" i="32"/>
  <c r="J30" i="32"/>
  <c r="G37" i="32"/>
  <c r="G37" i="34" s="1"/>
  <c r="G61" i="32"/>
  <c r="G61" i="33" s="1"/>
  <c r="J41" i="32"/>
  <c r="J41" i="33" s="1"/>
  <c r="H68" i="32"/>
  <c r="H68" i="33" s="1"/>
  <c r="C31" i="32"/>
  <c r="C31" i="34" s="1"/>
  <c r="I68" i="32"/>
  <c r="I68" i="33" s="1"/>
  <c r="G69" i="32"/>
  <c r="G69" i="34" s="1"/>
  <c r="J23" i="32"/>
  <c r="C28" i="32"/>
  <c r="C28" i="33" s="1"/>
  <c r="G77" i="32"/>
  <c r="G77" i="34" s="1"/>
  <c r="J17" i="32"/>
  <c r="G53" i="32"/>
  <c r="G53" i="34" s="1"/>
  <c r="H73" i="32"/>
  <c r="H73" i="33" s="1"/>
  <c r="J32" i="32"/>
  <c r="J32" i="33" s="1"/>
  <c r="G41" i="32"/>
  <c r="G41" i="33" s="1"/>
  <c r="G65" i="32"/>
  <c r="G65" i="33" s="1"/>
  <c r="G38" i="32"/>
  <c r="G38" i="34" s="1"/>
  <c r="H70" i="32"/>
  <c r="H70" i="34" s="1"/>
  <c r="J11" i="32"/>
  <c r="H66" i="32"/>
  <c r="H66" i="34" s="1"/>
  <c r="I31" i="32"/>
  <c r="I31" i="34" s="1"/>
  <c r="J70" i="32"/>
  <c r="J70" i="34" s="1"/>
  <c r="J12" i="32"/>
  <c r="G67" i="32"/>
  <c r="G67" i="34" s="1"/>
  <c r="J25" i="32"/>
  <c r="J19" i="32"/>
  <c r="H75" i="32"/>
  <c r="H75" i="34" s="1"/>
  <c r="G45" i="32"/>
  <c r="G45" i="33" s="1"/>
  <c r="C30" i="32"/>
  <c r="C30" i="34" s="1"/>
  <c r="G68" i="32"/>
  <c r="G68" i="34" s="1"/>
  <c r="C34" i="32"/>
  <c r="C34" i="34" s="1"/>
  <c r="G42" i="32"/>
  <c r="G42" i="33" s="1"/>
  <c r="H72" i="32"/>
  <c r="H72" i="34" s="1"/>
  <c r="G3" i="32"/>
  <c r="G3" i="34" s="1"/>
  <c r="G35" i="32"/>
  <c r="G35" i="34" s="1"/>
  <c r="J72" i="32"/>
  <c r="J72" i="34" s="1"/>
  <c r="J24" i="32"/>
  <c r="G36" i="32"/>
  <c r="G36" i="34" s="1"/>
  <c r="I32" i="32"/>
  <c r="I32" i="33" s="1"/>
  <c r="J46" i="32"/>
  <c r="J46" i="33" s="1"/>
  <c r="H77" i="32"/>
  <c r="H77" i="33" s="1"/>
  <c r="J6" i="32"/>
  <c r="I71" i="32"/>
  <c r="I71" i="34" s="1"/>
  <c r="G49" i="32"/>
  <c r="G49" i="33" s="1"/>
  <c r="C3" i="32"/>
  <c r="C3" i="34" s="1"/>
  <c r="J7" i="32"/>
  <c r="G46" i="32"/>
  <c r="G46" i="34" s="1"/>
  <c r="H74" i="32"/>
  <c r="H74" i="34" s="1"/>
  <c r="C35" i="32"/>
  <c r="C35" i="33" s="1"/>
  <c r="G39" i="32"/>
  <c r="G39" i="33" s="1"/>
  <c r="J42" i="32"/>
  <c r="J42" i="33" s="1"/>
  <c r="J74" i="32"/>
  <c r="J74" i="34" s="1"/>
  <c r="J35" i="32"/>
  <c r="J35" i="34" s="1"/>
  <c r="C32" i="32"/>
  <c r="C32" i="33" s="1"/>
  <c r="G40" i="32"/>
  <c r="G40" i="33" s="1"/>
  <c r="J36" i="32"/>
  <c r="J36" i="33" s="1"/>
  <c r="H3" i="32"/>
  <c r="H3" i="33" s="1"/>
  <c r="G60" i="32"/>
  <c r="G60" i="34" s="1"/>
  <c r="G33" i="32"/>
  <c r="G33" i="34" s="1"/>
  <c r="I73" i="32"/>
  <c r="I73" i="34" s="1"/>
  <c r="G57" i="32"/>
  <c r="G57" i="33" s="1"/>
  <c r="J14" i="32"/>
  <c r="G72" i="32"/>
  <c r="G72" i="33" s="1"/>
  <c r="H76" i="32"/>
  <c r="H76" i="34" s="1"/>
  <c r="I70" i="32"/>
  <c r="I70" i="34" s="1"/>
  <c r="G43" i="32"/>
  <c r="G43" i="34" s="1"/>
  <c r="G34" i="32"/>
  <c r="G34" i="33" s="1"/>
  <c r="J76" i="32"/>
  <c r="J76" i="33" s="1"/>
  <c r="J15" i="32"/>
  <c r="G31" i="35"/>
  <c r="G31" i="39" s="1"/>
  <c r="H31" i="35"/>
  <c r="H31" i="39" s="1"/>
  <c r="G52" i="35"/>
  <c r="G52" i="39" s="1"/>
  <c r="G47" i="35"/>
  <c r="G47" i="39" s="1"/>
  <c r="H64" i="32"/>
  <c r="H64" i="33" s="1"/>
  <c r="H39" i="35"/>
  <c r="H39" i="39" s="1"/>
  <c r="H53" i="35"/>
  <c r="H53" i="39" s="1"/>
  <c r="H57" i="35"/>
  <c r="H57" i="39" s="1"/>
  <c r="H55" i="32"/>
  <c r="H55" i="34" s="1"/>
  <c r="H37" i="32"/>
  <c r="H37" i="33" s="1"/>
  <c r="H39" i="32"/>
  <c r="H39" i="34" s="1"/>
  <c r="H34" i="32"/>
  <c r="H34" i="34" s="1"/>
  <c r="H60" i="32"/>
  <c r="H60" i="34" s="1"/>
  <c r="H38" i="32"/>
  <c r="H38" i="34" s="1"/>
  <c r="H65" i="32"/>
  <c r="H65" i="33" s="1"/>
  <c r="H50" i="32"/>
  <c r="H50" i="33" s="1"/>
  <c r="G54" i="32"/>
  <c r="G54" i="33" s="1"/>
  <c r="H63" i="32"/>
  <c r="H63" i="34" s="1"/>
  <c r="H48" i="32"/>
  <c r="H48" i="34" s="1"/>
  <c r="H44" i="32"/>
  <c r="H44" i="34" s="1"/>
  <c r="H62" i="32"/>
  <c r="H62" i="34" s="1"/>
  <c r="H51" i="32"/>
  <c r="H51" i="33" s="1"/>
  <c r="H53" i="32"/>
  <c r="H53" i="34" s="1"/>
  <c r="H41" i="32"/>
  <c r="H41" i="34" s="1"/>
  <c r="H37" i="35"/>
  <c r="H37" i="39" s="1"/>
  <c r="H60" i="35"/>
  <c r="H60" i="39" s="1"/>
  <c r="H78" i="29"/>
  <c r="H78" i="34"/>
  <c r="H78" i="28"/>
  <c r="H78" i="32"/>
  <c r="H78" i="33"/>
  <c r="H78" i="30"/>
  <c r="J78" i="29"/>
  <c r="J78" i="34"/>
  <c r="J78" i="28"/>
  <c r="J78" i="33"/>
  <c r="J78" i="32"/>
  <c r="J78" i="30"/>
  <c r="H51" i="35"/>
  <c r="H51" i="39" s="1"/>
  <c r="H62" i="35"/>
  <c r="H62" i="39" s="1"/>
  <c r="I78" i="29"/>
  <c r="I78" i="34"/>
  <c r="I78" i="28"/>
  <c r="I78" i="33"/>
  <c r="I78" i="32"/>
  <c r="I78" i="30"/>
  <c r="G78" i="32"/>
  <c r="G78" i="30"/>
  <c r="G78" i="33"/>
  <c r="G78" i="29"/>
  <c r="G78" i="34"/>
  <c r="G78" i="28"/>
  <c r="H42" i="35"/>
  <c r="H42" i="39" s="1"/>
  <c r="H58" i="35"/>
  <c r="H58" i="39" s="1"/>
  <c r="H43" i="32"/>
  <c r="H43" i="33" s="1"/>
  <c r="I51" i="32"/>
  <c r="I51" i="34" s="1"/>
  <c r="H7" i="34"/>
  <c r="H7" i="33"/>
  <c r="C45" i="34"/>
  <c r="C45" i="33"/>
  <c r="E65" i="34"/>
  <c r="E65" i="33"/>
  <c r="J68" i="34"/>
  <c r="J68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32"/>
  <c r="C41" i="32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2"/>
  <c r="D25" i="32"/>
  <c r="C75" i="34"/>
  <c r="C75" i="33"/>
  <c r="I30" i="33"/>
  <c r="I30" i="34"/>
  <c r="C66" i="34"/>
  <c r="C66" i="33"/>
  <c r="J64" i="34"/>
  <c r="J64" i="33"/>
  <c r="H14" i="32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2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2"/>
  <c r="C37" i="32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E53" i="34"/>
  <c r="E53" i="33"/>
  <c r="F31" i="34"/>
  <c r="F31" i="33"/>
  <c r="F65" i="34"/>
  <c r="F65" i="33"/>
  <c r="I27" i="33"/>
  <c r="I27" i="34"/>
  <c r="E68" i="34"/>
  <c r="E68" i="33"/>
  <c r="G37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C40" i="32"/>
  <c r="E48" i="33"/>
  <c r="E48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C38" i="32"/>
  <c r="F46" i="33"/>
  <c r="F46" i="34"/>
  <c r="C43" i="32"/>
  <c r="D56" i="34"/>
  <c r="D56" i="33"/>
  <c r="D67" i="34"/>
  <c r="D67" i="33"/>
  <c r="J67" i="34"/>
  <c r="J67" i="33"/>
  <c r="C39" i="32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6" i="33"/>
  <c r="G6" i="34"/>
  <c r="C61" i="34"/>
  <c r="C61" i="33"/>
  <c r="C44" i="32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2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C42" i="32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I71" i="33" l="1"/>
  <c r="G69" i="33"/>
  <c r="H59" i="33"/>
  <c r="I72" i="33"/>
  <c r="H50" i="34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32"/>
  <c r="G47" i="33" s="1"/>
  <c r="I70" i="33"/>
  <c r="J35" i="33"/>
  <c r="H38" i="33"/>
  <c r="G76" i="33"/>
  <c r="G67" i="33"/>
  <c r="J72" i="33"/>
  <c r="G52" i="32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2"/>
  <c r="J23" i="34"/>
  <c r="J23" i="33"/>
  <c r="J4" i="33"/>
  <c r="J4" i="34"/>
  <c r="H52" i="32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32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2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32"/>
  <c r="H63" i="33"/>
  <c r="H56" i="32"/>
  <c r="H36" i="32"/>
  <c r="H35" i="32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H9" i="32"/>
  <c r="G47" i="34" l="1"/>
  <c r="G52" i="33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2"/>
  <c r="H9" i="34"/>
  <c r="H9" i="33"/>
  <c r="J9" i="34" l="1"/>
  <c r="J9" i="33"/>
</calcChain>
</file>

<file path=xl/sharedStrings.xml><?xml version="1.0" encoding="utf-8"?>
<sst xmlns="http://schemas.openxmlformats.org/spreadsheetml/2006/main" count="524" uniqueCount="230">
  <si>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</si>
  <si>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</si>
  <si>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</si>
  <si>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</si>
  <si>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</si>
  <si>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</si>
  <si>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</si>
  <si>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</si>
  <si>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</si>
  <si>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</si>
  <si>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</si>
  <si>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</si>
  <si>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</si>
  <si>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</si>
  <si>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</si>
  <si>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</si>
  <si>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</si>
  <si>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</si>
  <si>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</si>
  <si>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</si>
  <si>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</si>
  <si>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</si>
  <si>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</si>
  <si>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</si>
  <si>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</si>
  <si>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</si>
  <si>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</si>
  <si>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</si>
  <si>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</si>
  <si>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</si>
  <si>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</si>
  <si>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</si>
  <si>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</si>
  <si>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</si>
  <si>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</si>
  <si>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</si>
  <si>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</si>
  <si>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</si>
  <si>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</si>
  <si>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</si>
  <si>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</si>
  <si>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</si>
  <si>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</si>
  <si>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</si>
  <si>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</si>
  <si>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</si>
  <si>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</si>
  <si>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</si>
  <si>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</si>
  <si>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</si>
  <si>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</si>
  <si>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</si>
  <si>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</si>
  <si>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</si>
  <si>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</si>
  <si>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</si>
  <si>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</si>
  <si>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</si>
  <si>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</si>
  <si>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</si>
  <si>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</si>
  <si>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</si>
  <si>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</si>
  <si>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</si>
  <si>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</si>
  <si>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</si>
  <si>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</si>
  <si>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</si>
  <si>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</si>
  <si>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</si>
  <si>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</si>
  <si>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</si>
  <si>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</si>
  <si>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</si>
  <si>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</si>
  <si>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</si>
  <si>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</si>
  <si>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</si>
  <si>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</si>
  <si>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</si>
  <si>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</si>
  <si>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</si>
  <si>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</si>
  <si>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</si>
  <si>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</si>
  <si>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</si>
  <si>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</si>
  <si>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</si>
  <si>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</si>
  <si>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</si>
  <si>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</si>
  <si>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</si>
  <si>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</si>
  <si>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</si>
  <si>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modulation[dataRate]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</si>
  <si>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</si>
  <si>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</si>
  <si>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</si>
  <si>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</si>
  <si>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</si>
  <si>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</si>
  <si>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</si>
  <si>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</si>
  <si>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</si>
  <si>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</si>
  <si>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</si>
  <si>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</si>
  <si>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</si>
  <si>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</si>
  <si>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</si>
  <si>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</si>
  <si>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</si>
  <si>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</si>
  <si>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</si>
  <si>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</si>
  <si>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</si>
  <si>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</si>
  <si>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</si>
  <si>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</si>
  <si>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</si>
  <si>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</si>
  <si>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</si>
  <si>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</si>
  <si>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</si>
  <si>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</si>
  <si>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</si>
  <si>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</si>
  <si>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</si>
  <si>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</si>
  <si>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</si>
  <si>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</si>
  <si>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</si>
  <si>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</si>
  <si>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</si>
  <si>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</si>
  <si>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</si>
  <si>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</si>
  <si>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</si>
  <si>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</si>
  <si>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</si>
  <si>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</si>
  <si>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</si>
  <si>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</si>
  <si>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</si>
  <si>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</si>
  <si>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</si>
  <si>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</si>
  <si>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</si>
  <si>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</si>
  <si>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</si>
  <si>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</si>
  <si>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</si>
  <si>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</si>
  <si>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</si>
  <si>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</si>
  <si>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</si>
  <si>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</si>
  <si>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</si>
  <si>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</si>
  <si>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</si>
  <si>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</si>
  <si>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</si>
  <si>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</si>
  <si>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</si>
  <si>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</si>
  <si>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</si>
  <si>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</si>
  <si>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</si>
  <si>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</si>
  <si>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</si>
  <si>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</si>
  <si>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</si>
  <si>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</si>
  <si>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</si>
  <si>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</si>
  <si>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</si>
  <si>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</si>
  <si>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</si>
  <si>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</si>
  <si>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</si>
  <si>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</si>
  <si>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</si>
  <si>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</si>
  <si>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</si>
  <si>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</si>
  <si>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</si>
  <si>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</si>
  <si>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</si>
  <si>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</si>
  <si>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</si>
  <si>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</si>
  <si>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</si>
  <si>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</si>
  <si>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</si>
  <si>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</si>
  <si>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</si>
  <si>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</si>
  <si>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</si>
  <si>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</si>
  <si>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</si>
  <si>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</si>
  <si>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</si>
  <si>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</si>
  <si>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</si>
  <si>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</si>
  <si>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</si>
  <si>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</si>
  <si>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</si>
  <si>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</si>
  <si>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</si>
  <si>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</si>
  <si>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</si>
  <si>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</si>
  <si>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</si>
  <si>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</si>
  <si>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</si>
  <si>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</si>
  <si>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</si>
  <si>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</si>
  <si>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</si>
  <si>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</si>
  <si>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</si>
  <si>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</si>
  <si>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~RADIO_FLAG_RXDATA</t>
  </si>
  <si>
    <t>s/fail</t>
  </si>
  <si>
    <t>modulation[LoRa_sendChannelParameters.dataRate]</t>
  </si>
  <si>
    <t>spreadingFactor[LoRa_sendChannelParameters.dataRate]</t>
  </si>
  <si>
    <t>bandwidth[LoRa_sendChannelParameters.dataRate]</t>
  </si>
  <si>
    <t>LoRa_TxDone_DATA</t>
  </si>
  <si>
    <t>LoRa_TimerWaitAck_timeout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</si>
</sst>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2" borderId="4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1" fillId="12" borderId="0" xfId="1" applyFill="1" applyBorder="1" applyAlignment="1">
      <alignment horizontal="center"/>
    </xf>
    <xf numFmtId="0" fontId="1" fillId="12" borderId="0" xfId="1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110</v>
      </c>
      <c r="D3"/>
      <c r="E3"/>
      <c r="G3" t="s">
        <v>44</v>
      </c>
      <c r="H3" t="s">
        <v>55</v>
      </c>
    </row>
    <row r="4" spans="2:8" x14ac:dyDescent="0.25">
      <c r="B4" t="s">
        <v>111</v>
      </c>
      <c r="C4" t="s">
        <v>112</v>
      </c>
      <c r="D4"/>
      <c r="E4"/>
      <c r="G4" t="s">
        <v>44</v>
      </c>
      <c r="H4" t="s">
        <v>176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177</v>
      </c>
    </row>
    <row r="6" spans="2:8" x14ac:dyDescent="0.25">
      <c r="B6" t="s">
        <v>115</v>
      </c>
      <c r="C6" t="s">
        <v>200</v>
      </c>
      <c r="D6"/>
      <c r="E6"/>
      <c r="G6" t="s">
        <v>15</v>
      </c>
      <c r="H6" t="s">
        <v>178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179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181</v>
      </c>
    </row>
    <row r="9" spans="2:8" x14ac:dyDescent="0.25">
      <c r="B9" t="s">
        <v>20</v>
      </c>
      <c r="C9" t="s">
        <v>170</v>
      </c>
      <c r="D9"/>
      <c r="E9"/>
      <c r="G9" t="s">
        <v>20</v>
      </c>
      <c r="H9" t="s">
        <v>180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124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182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183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184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185</v>
      </c>
    </row>
    <row r="15" spans="2:8" x14ac:dyDescent="0.25">
      <c r="B15" t="s">
        <v>20</v>
      </c>
      <c r="C15" t="s">
        <v>107</v>
      </c>
      <c r="D15"/>
      <c r="E15"/>
      <c r="G15" t="s">
        <v>20</v>
      </c>
      <c r="H15" t="s">
        <v>186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152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187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188</v>
      </c>
    </row>
    <row r="19" spans="2:8" x14ac:dyDescent="0.25">
      <c r="C19" t="s">
        <v>89</v>
      </c>
      <c r="D19"/>
      <c r="E19"/>
      <c r="G19" t="s">
        <v>46</v>
      </c>
      <c r="H19" t="s">
        <v>142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143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137</v>
      </c>
      <c r="D22"/>
      <c r="E22"/>
      <c r="G22" t="s">
        <v>20</v>
      </c>
      <c r="H22" t="s">
        <v>106</v>
      </c>
    </row>
    <row r="23" spans="2:8" x14ac:dyDescent="0.25">
      <c r="C23" t="s">
        <v>138</v>
      </c>
      <c r="D23"/>
      <c r="E23"/>
      <c r="G23" t="s">
        <v>189</v>
      </c>
      <c r="H23" t="s">
        <v>105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190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191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192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103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193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206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194</v>
      </c>
    </row>
    <row r="31" spans="2:8" x14ac:dyDescent="0.25">
      <c r="B31" t="s">
        <v>20</v>
      </c>
      <c r="C31" t="s">
        <v>163</v>
      </c>
      <c r="D31"/>
      <c r="E31"/>
      <c r="G31" t="s">
        <v>45</v>
      </c>
      <c r="H31" t="s">
        <v>195</v>
      </c>
    </row>
    <row r="32" spans="2:8" x14ac:dyDescent="0.25">
      <c r="D32"/>
      <c r="E32"/>
      <c r="G32" t="s">
        <v>47</v>
      </c>
      <c r="H32" t="s">
        <v>148</v>
      </c>
    </row>
    <row r="33" spans="2:8" x14ac:dyDescent="0.25">
      <c r="D33"/>
      <c r="E33"/>
      <c r="G33" t="s">
        <v>48</v>
      </c>
      <c r="H33" t="s">
        <v>196</v>
      </c>
    </row>
    <row r="34" spans="2:8" x14ac:dyDescent="0.25">
      <c r="D34"/>
      <c r="E34"/>
      <c r="G34" t="s">
        <v>48</v>
      </c>
      <c r="H34" t="s">
        <v>197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95</v>
      </c>
      <c r="D41"/>
      <c r="E41"/>
    </row>
    <row r="42" spans="2:8" x14ac:dyDescent="0.25">
      <c r="B42" t="s">
        <v>20</v>
      </c>
      <c r="C42" t="s">
        <v>96</v>
      </c>
      <c r="D42"/>
      <c r="E42"/>
    </row>
    <row r="43" spans="2:8" x14ac:dyDescent="0.25">
      <c r="B43" t="s">
        <v>20</v>
      </c>
      <c r="C43" t="s">
        <v>97</v>
      </c>
      <c r="D43"/>
      <c r="E43"/>
    </row>
    <row r="44" spans="2:8" x14ac:dyDescent="0.25">
      <c r="B44" t="s">
        <v>20</v>
      </c>
      <c r="C44" t="s">
        <v>119</v>
      </c>
      <c r="D44" t="s">
        <v>120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151</v>
      </c>
    </row>
    <row r="49" spans="2:3" x14ac:dyDescent="0.25">
      <c r="B49" t="s">
        <v>122</v>
      </c>
      <c r="C49" t="s">
        <v>123</v>
      </c>
    </row>
    <row r="50" spans="2:3" x14ac:dyDescent="0.25">
      <c r="C50" t="s">
        <v>124</v>
      </c>
    </row>
    <row r="51" spans="2:3" x14ac:dyDescent="0.25">
      <c r="C51" t="s">
        <v>55</v>
      </c>
    </row>
    <row r="52" spans="2:3" x14ac:dyDescent="0.25">
      <c r="C52" t="s">
        <v>126</v>
      </c>
    </row>
    <row r="53" spans="2:3" x14ac:dyDescent="0.25">
      <c r="C53" t="s">
        <v>131</v>
      </c>
    </row>
    <row r="54" spans="2:3" x14ac:dyDescent="0.25">
      <c r="C54" t="s">
        <v>132</v>
      </c>
    </row>
    <row r="55" spans="2:3" x14ac:dyDescent="0.25">
      <c r="C55" t="s">
        <v>133</v>
      </c>
    </row>
    <row r="56" spans="2:3" x14ac:dyDescent="0.25">
      <c r="C56" t="s">
        <v>134</v>
      </c>
    </row>
    <row r="57" spans="2:3" x14ac:dyDescent="0.25">
      <c r="C57" t="s">
        <v>135</v>
      </c>
    </row>
    <row r="58" spans="2:3" x14ac:dyDescent="0.25">
      <c r="C58" t="s">
        <v>136</v>
      </c>
    </row>
    <row r="59" spans="2:3" x14ac:dyDescent="0.25">
      <c r="C59" t="s">
        <v>141</v>
      </c>
    </row>
    <row r="60" spans="2:3" x14ac:dyDescent="0.25">
      <c r="C60" t="s">
        <v>142</v>
      </c>
    </row>
    <row r="61" spans="2:3" x14ac:dyDescent="0.25">
      <c r="C61" t="s">
        <v>143</v>
      </c>
    </row>
    <row r="62" spans="2:3" x14ac:dyDescent="0.25">
      <c r="C62" t="s">
        <v>178</v>
      </c>
    </row>
    <row r="63" spans="2:3" x14ac:dyDescent="0.25">
      <c r="C63" t="s">
        <v>144</v>
      </c>
    </row>
    <row r="64" spans="2:3" x14ac:dyDescent="0.25">
      <c r="C64" t="s">
        <v>145</v>
      </c>
    </row>
    <row r="65" spans="3:3" x14ac:dyDescent="0.25">
      <c r="C65" t="s">
        <v>146</v>
      </c>
    </row>
    <row r="66" spans="3:3" x14ac:dyDescent="0.25">
      <c r="C66" t="s">
        <v>147</v>
      </c>
    </row>
    <row r="67" spans="3:3" x14ac:dyDescent="0.25">
      <c r="C67" t="s">
        <v>148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topLeftCell="A1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113</v>
      </c>
      <c r="G4" t="str">
        <f>function!B4</f>
        <v>LoRaStatus_t</v>
      </c>
      <c r="H4" t="str">
        <f>function!C4</f>
        <v>LoRa_StatusDanych</v>
      </c>
      <c r="I4" s="6" t="s">
        <v>113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116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117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171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118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121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129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125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127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118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128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130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203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207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204</v>
      </c>
      <c r="D11" s="26"/>
      <c r="E11" s="20"/>
      <c r="F11" s="50" t="s">
        <v>207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118</v>
      </c>
      <c r="E12" s="47" t="s">
        <v>40</v>
      </c>
      <c r="F12" s="49" t="s">
        <v>207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125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127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0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0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0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0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0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0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0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0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>
        <f>LoRa_System_Init!J47</f>
        <v>0</v>
      </c>
    </row>
    <row r="48" spans="2:10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>
        <f>LoRa_System_Init!J48</f>
        <v>0</v>
      </c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>
        <f>LoRa_System_Init!J49</f>
        <v>0</v>
      </c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>
        <f>LoRa_System_Init!J50</f>
        <v>0</v>
      </c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>
        <f>LoRa_System_Init!J51</f>
        <v>0</v>
      </c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118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205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D1FC3EFC-7FBE-4227-A16B-3DCD3440F27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46" t="s">
        <v>9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208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209</v>
      </c>
      <c r="F9" s="21"/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210</v>
      </c>
      <c r="D10" s="37" t="s">
        <v>211</v>
      </c>
      <c r="E10" s="32" t="s">
        <v>211</v>
      </c>
      <c r="F10" s="51" t="s">
        <v>207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212</v>
      </c>
      <c r="D11" s="38" t="s">
        <v>82</v>
      </c>
      <c r="E11" s="34" t="s">
        <v>209</v>
      </c>
      <c r="F11" s="50" t="s">
        <v>211</v>
      </c>
      <c r="G11" t="str">
        <f>main!G11</f>
        <v>uint8_t</v>
      </c>
      <c r="H11" t="str">
        <f>main!H11</f>
        <v>LoRa_HeaderBufor</v>
      </c>
      <c r="I11" s="46" t="s">
        <v>99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100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102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101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174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29" t="s">
        <v>139</v>
      </c>
      <c r="D20" s="26"/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175</v>
      </c>
      <c r="J20">
        <f>main!J20</f>
        <v>0</v>
      </c>
    </row>
    <row r="21" spans="3:10" x14ac:dyDescent="0.25">
      <c r="C21" s="19"/>
      <c r="D21" s="26"/>
      <c r="E21" s="20"/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20"/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175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C20" location="LoRa_Send_Header!C1" display="LoRa_Send_Header" xr:uid="{6E2DE23F-AFDC-4DC1-B151-8AA19A505A7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7"/>
  <sheetViews>
    <sheetView showZeros="0" topLeftCell="A1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139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114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RADIO_FLAG_TRANSMITTING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216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213</v>
      </c>
      <c r="D10" s="37" t="s">
        <v>140</v>
      </c>
      <c r="E10" s="32" t="s">
        <v>88</v>
      </c>
      <c r="F10" s="21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198</v>
      </c>
      <c r="D11" s="38" t="s">
        <v>140</v>
      </c>
      <c r="E11" s="34" t="s">
        <v>88</v>
      </c>
      <c r="F11" s="50" t="s">
        <v>207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207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149</v>
      </c>
      <c r="D13" s="36">
        <v>4</v>
      </c>
      <c r="E13" s="20"/>
      <c r="F13" s="31" t="s">
        <v>207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29" t="s">
        <v>13</v>
      </c>
      <c r="D20" s="26"/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29" t="s">
        <v>217</v>
      </c>
      <c r="D21" s="26"/>
      <c r="E21" s="20"/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29" t="s">
        <v>218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29" t="s">
        <v>190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150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0" x14ac:dyDescent="0.25">
      <c r="C33" t="str">
        <f>LoRa_Send!C33</f>
        <v>SyncWord</v>
      </c>
      <c r="D33" s="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0" x14ac:dyDescent="0.25">
      <c r="C34" t="str">
        <f>LoRa_Send!C34</f>
        <v>CRC</v>
      </c>
      <c r="D34" s="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0" x14ac:dyDescent="0.25">
      <c r="C35" t="str">
        <f>LoRa_Send!C35</f>
        <v>IQInverted</v>
      </c>
      <c r="D35" s="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0" x14ac:dyDescent="0.25">
      <c r="C36" t="str">
        <f>LoRa_Send!C36</f>
        <v>HopPeriod</v>
      </c>
      <c r="D36" s="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0" x14ac:dyDescent="0.25">
      <c r="C37" t="str">
        <f>LoRa_Send!C37</f>
        <v>errorCodingRate</v>
      </c>
      <c r="D37" s="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0" x14ac:dyDescent="0.25">
      <c r="C38" t="str">
        <f>LoRa_Send!C38</f>
        <v>implicitHeaderMode</v>
      </c>
      <c r="D38" s="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0" x14ac:dyDescent="0.25">
      <c r="C39" t="str">
        <f>LoRa_Send!C39</f>
        <v>preambleLen</v>
      </c>
      <c r="D39" s="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0" x14ac:dyDescent="0.25">
      <c r="C40" t="str">
        <f>LoRa_Send!C40</f>
        <v>symbolTimeout</v>
      </c>
      <c r="D40" s="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0" x14ac:dyDescent="0.25">
      <c r="C41" t="str">
        <f>LoRa_Send!C41</f>
        <v>FSKfreqDeviation</v>
      </c>
      <c r="D41" s="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202</v>
      </c>
      <c r="J41">
        <f>LoRa_Send!J41</f>
        <v>0</v>
      </c>
    </row>
    <row r="42" spans="3:10" x14ac:dyDescent="0.25">
      <c r="C42" t="str">
        <f>LoRa_Send!C42</f>
        <v>FSKBitRate</v>
      </c>
      <c r="D42" s="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214</v>
      </c>
      <c r="J42">
        <f>LoRa_Send!J42</f>
        <v>0</v>
      </c>
    </row>
    <row r="43" spans="3:10" x14ac:dyDescent="0.25">
      <c r="C43" t="str">
        <f>LoRa_Send!C43</f>
        <v>FSK_PREAMBLE</v>
      </c>
      <c r="D43" s="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215</v>
      </c>
      <c r="J43">
        <f>LoRa_Send!J43</f>
        <v>0</v>
      </c>
    </row>
    <row r="44" spans="3:10" x14ac:dyDescent="0.25">
      <c r="C44" t="str">
        <f>LoRa_Send!C44</f>
        <v>fskDataShaping</v>
      </c>
      <c r="D44" s="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98</v>
      </c>
      <c r="J44">
        <f>LoRa_Send!J44</f>
        <v>0</v>
      </c>
    </row>
    <row r="45" spans="3:10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0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0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2" t="s">
        <v>153</v>
      </c>
      <c r="J47">
        <f>LoRa_Send!J47</f>
        <v>0</v>
      </c>
    </row>
    <row r="48" spans="3:10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J48">
        <f>LoRa_Send!J48</f>
        <v>0</v>
      </c>
    </row>
    <row r="49" spans="3:10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J49">
        <f>LoRa_Send!J49</f>
        <v>0</v>
      </c>
    </row>
    <row r="50" spans="3:10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3:10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3:10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0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0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0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0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0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0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0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0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0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0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0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0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C20" location="LoRa_TxDone!C1" display="LoRa_TxDone" xr:uid="{DA648A90-1675-492E-A5BF-2D7E115AFA86}"/>
    <hyperlink ref="C21" location="LoRa_TimerHandshakingCallback!C1" display="LoRa_TimerHandshaking_timeout" xr:uid="{9F8AED28-3CD2-4B9B-8820-B01E5AEDE833}"/>
    <hyperlink ref="C22" location="RADIO_WatchdogTimeout!C1" display="watchdogTimerId_timeout" xr:uid="{322B6016-9AB2-43F8-9A93-50DD50DDF281}"/>
    <hyperlink ref="C23" location="timeOnAirTimerId!C1" display="timeOnAirTimerId" xr:uid="{C3DDB455-7FD4-4D0D-AF2C-3D2AE5D03C0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RADIO_FLAG_RECEIVING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/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1" t="s">
        <v>13</v>
      </c>
      <c r="D10" s="37" t="s">
        <v>14</v>
      </c>
      <c r="E10" s="20"/>
      <c r="F10" s="51" t="s">
        <v>207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3" t="s">
        <v>104</v>
      </c>
      <c r="D11" s="26"/>
      <c r="E11" s="20"/>
      <c r="F11" s="50" t="s">
        <v>207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43" t="s">
        <v>199</v>
      </c>
      <c r="D12" s="44" t="s">
        <v>87</v>
      </c>
      <c r="E12" s="47" t="s">
        <v>86</v>
      </c>
      <c r="F12" s="49" t="s">
        <v>207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53" t="s">
        <v>198</v>
      </c>
      <c r="D13" s="54" t="s">
        <v>87</v>
      </c>
      <c r="E13" s="55" t="s">
        <v>86</v>
      </c>
      <c r="F13" s="56" t="s">
        <v>207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4" t="s">
        <v>154</v>
      </c>
      <c r="D14" s="65">
        <v>4</v>
      </c>
      <c r="E14" s="20"/>
      <c r="F14" s="66" t="s">
        <v>207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8" t="s">
        <v>149</v>
      </c>
      <c r="D15" s="59">
        <v>4</v>
      </c>
      <c r="E15" s="20"/>
      <c r="F15" s="60" t="s">
        <v>207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29" t="s">
        <v>19</v>
      </c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29" t="s">
        <v>217</v>
      </c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29" t="s">
        <v>218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29" t="s">
        <v>190</v>
      </c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2" t="s">
        <v>156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2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1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2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1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1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1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0" x14ac:dyDescent="0.25">
      <c r="C33" t="str">
        <f>LoRa_Send_Header!C33</f>
        <v>SyncWord</v>
      </c>
      <c r="D33" s="61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0" x14ac:dyDescent="0.25">
      <c r="C34" t="str">
        <f>LoRa_Send_Header!C34</f>
        <v>CRC</v>
      </c>
      <c r="D34" s="61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7" t="s">
        <v>86</v>
      </c>
      <c r="J34">
        <f>LoRa_Send_Header!J34</f>
        <v>0</v>
      </c>
    </row>
    <row r="35" spans="3:10" x14ac:dyDescent="0.25">
      <c r="C35" t="str">
        <f>LoRa_Send_Header!C35</f>
        <v>IQInverted</v>
      </c>
      <c r="D35" s="61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0" x14ac:dyDescent="0.25">
      <c r="C36" t="str">
        <f>LoRa_Send_Header!C36</f>
        <v>HopPeriod</v>
      </c>
      <c r="D36" s="61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0" x14ac:dyDescent="0.25">
      <c r="C37" t="str">
        <f>LoRa_Send_Header!C37</f>
        <v>errorCodingRate</v>
      </c>
      <c r="D37" s="61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0" x14ac:dyDescent="0.25">
      <c r="C38" t="str">
        <f>LoRa_Send_Header!C38</f>
        <v>implicitHeaderMode</v>
      </c>
      <c r="D38" s="61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7" t="s">
        <v>69</v>
      </c>
      <c r="J38">
        <f>LoRa_Send_Header!J38</f>
        <v>0</v>
      </c>
    </row>
    <row r="39" spans="3:10" x14ac:dyDescent="0.25">
      <c r="C39" t="str">
        <f>LoRa_Send_Header!C39</f>
        <v>preambleLen</v>
      </c>
      <c r="D39" s="61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0" x14ac:dyDescent="0.25">
      <c r="C40" t="str">
        <f>LoRa_Send_Header!C40</f>
        <v>symbolTimeout</v>
      </c>
      <c r="D40" s="61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0" x14ac:dyDescent="0.25">
      <c r="C41" t="str">
        <f>LoRa_Send_Header!C41</f>
        <v>FSKfreqDeviation</v>
      </c>
      <c r="D41" s="61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7" t="s">
        <v>201</v>
      </c>
      <c r="J41">
        <f>LoRa_Send_Header!J41</f>
        <v>0</v>
      </c>
    </row>
    <row r="42" spans="3:10" x14ac:dyDescent="0.25">
      <c r="C42" t="str">
        <f>LoRa_Send_Header!C42</f>
        <v>FSKBitRate</v>
      </c>
      <c r="D42" s="61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7" t="s">
        <v>219</v>
      </c>
      <c r="J42">
        <f>LoRa_Send_Header!J42</f>
        <v>0</v>
      </c>
    </row>
    <row r="43" spans="3:10" x14ac:dyDescent="0.25">
      <c r="C43" t="str">
        <f>LoRa_Send_Header!C43</f>
        <v>FSK_PREAMBLE</v>
      </c>
      <c r="D43" s="61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7" t="s">
        <v>220</v>
      </c>
      <c r="J43">
        <f>LoRa_Send_Header!J43</f>
        <v>0</v>
      </c>
    </row>
    <row r="44" spans="3:10" x14ac:dyDescent="0.25">
      <c r="C44" t="str">
        <f>LoRa_Send_Header!C44</f>
        <v>fskDataShaping</v>
      </c>
      <c r="D44" s="61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0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0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0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3" t="s">
        <v>155</v>
      </c>
      <c r="J47">
        <f>LoRa_Send_Header!J47</f>
        <v>0</v>
      </c>
    </row>
    <row r="48" spans="3:10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7" t="s">
        <v>93</v>
      </c>
      <c r="J48">
        <f>LoRa_Send_Header!J48</f>
        <v>0</v>
      </c>
    </row>
    <row r="49" spans="3:10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>
        <f>LoRa_Send_Header!J49</f>
        <v>0</v>
      </c>
    </row>
    <row r="50" spans="3:10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3:10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3:10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0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0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0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0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0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3" t="str">
        <f>I58</f>
        <v>WATCHDOG_DEFAULT_TIME</v>
      </c>
      <c r="J57" t="str">
        <f>LoRa_Send_Header!J57</f>
        <v>RADIO_WatchdogTimeout</v>
      </c>
    </row>
    <row r="58" spans="3:10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0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0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0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0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0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0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C20" location="RADIO_RxDone!C1" display="LoRa_RxDone" xr:uid="{38EA563F-7235-4607-B8A2-C72D8ADB3BA4}"/>
    <hyperlink ref="C21" location="LoRa_TimerHandshakingCallback!C1" display="LoRa_TimerHandshaking_timeout" xr:uid="{31987346-5619-4079-8271-D3804E82D86E}"/>
    <hyperlink ref="C22" location="RADIO_WatchdogTimeout!C1" display="watchdogTimerId_timeout" xr:uid="{CB02A574-0F5F-471D-9DD0-596117AC325F}"/>
    <hyperlink ref="C23" location="timeOnAirTimerId!C1" display="timeOnAirTimerId" xr:uid="{1281CD14-70EA-4C4D-99DB-437A45C5750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139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172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157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169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171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>
        <f>LoRa_Send_Header!J47</f>
        <v>0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171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173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~RADIO_FLAG_RXDATA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C10" s="41" t="s">
        <v>19</v>
      </c>
      <c r="D10" s="37" t="s">
        <v>105</v>
      </c>
      <c r="E10" s="32" t="s">
        <v>106</v>
      </c>
      <c r="F10" s="51" t="s">
        <v>224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9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67" t="s">
        <v>157</v>
      </c>
      <c r="E20" s="68" t="s">
        <v>158</v>
      </c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29" t="s">
        <v>217</v>
      </c>
      <c r="D21" s="26"/>
      <c r="E21" s="20"/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29" t="s">
        <v>218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29" t="s">
        <v>190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125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6" t="s">
        <v>223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221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222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195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F9C4FB4-B592-4233-8EE4-83B292D2F137}"/>
    <hyperlink ref="E20" location="LoRa_RxDone_Fail!C1" display="LoRa_RxDone_Fail" xr:uid="{0FA5944B-9AC2-49BA-937D-D48F20654D80}"/>
    <hyperlink ref="C21" location="LoRa_TimerHandshakingCallback!C1" display="LoRa_TimerHandshaking_timeout" xr:uid="{A86EB44A-4344-45FD-A78E-D9E41196AB12}"/>
    <hyperlink ref="C22" location="RADIO_WatchdogTimeout!C1" display="watchdogTimerId_timeout" xr:uid="{105626AB-BDF1-4822-A5D7-70FC1C72913C}"/>
    <hyperlink ref="C23" location="timeOnAirTimerId!C1" display="timeOnAirTimerId" xr:uid="{E4117843-4E1B-480E-8BAD-600300E10B2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157</v>
      </c>
      <c r="D1" s="2" t="s">
        <v>105</v>
      </c>
      <c r="E1" s="2" t="s">
        <v>106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RADIO_FLAG_TRANSMITTING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7</v>
      </c>
      <c r="E9" s="30" t="s">
        <v>8</v>
      </c>
      <c r="F9" s="31" t="s">
        <v>207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41" t="s">
        <v>213</v>
      </c>
      <c r="D10" s="37" t="s">
        <v>138</v>
      </c>
      <c r="E10" s="32" t="s">
        <v>137</v>
      </c>
      <c r="F10" s="51" t="s">
        <v>207</v>
      </c>
      <c r="G10" t="str">
        <f>RADIO_RxDone!G10</f>
        <v>uint8_t</v>
      </c>
      <c r="H10" t="str">
        <f>RADIO_RxDone!H10</f>
        <v>LoRa_TimerWaitAck</v>
      </c>
      <c r="I10" s="6" t="s">
        <v>108</v>
      </c>
      <c r="J10" t="str">
        <f>RADIO_RxDone!J10</f>
        <v>LoRa_TimerWaitAckCallback</v>
      </c>
    </row>
    <row r="11" spans="2:10" x14ac:dyDescent="0.25">
      <c r="C11" s="33" t="s">
        <v>198</v>
      </c>
      <c r="D11" s="38" t="s">
        <v>138</v>
      </c>
      <c r="E11" s="34" t="s">
        <v>137</v>
      </c>
      <c r="F11" s="50" t="s">
        <v>207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43" t="s">
        <v>0</v>
      </c>
      <c r="D12" s="44" t="s">
        <v>26</v>
      </c>
      <c r="E12" s="47" t="s">
        <v>27</v>
      </c>
      <c r="F12" s="49" t="s">
        <v>207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53" t="s">
        <v>149</v>
      </c>
      <c r="D13" s="54">
        <v>4</v>
      </c>
      <c r="E13" s="20"/>
      <c r="F13" s="56" t="s">
        <v>207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6" t="s">
        <v>159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29" t="s">
        <v>228</v>
      </c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29" t="s">
        <v>229</v>
      </c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29" t="s">
        <v>218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29" t="s">
        <v>190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2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2" t="s">
        <v>150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2" t="str">
        <f>I41</f>
        <v>modulation[LoRa_sendChannelParameters.dataRate]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57" t="str">
        <f>I34</f>
        <v>LoRa_sendChannelParameters.frequency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2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57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57" t="str">
        <f>I42</f>
        <v>spreadingFactor[LoRa_sendChannelParameters.dataRate]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57" t="str">
        <f>I43</f>
        <v>bandwidth[LoRa_sendChannelParameters.dataRate]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57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57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46" t="s">
        <v>137</v>
      </c>
      <c r="J34">
        <f>RADIO_RxDone!J34</f>
        <v>0</v>
      </c>
    </row>
    <row r="35" spans="3:10" x14ac:dyDescent="0.25">
      <c r="C35" t="str">
        <f>RADIO_RxDone!C35</f>
        <v>IQInverted</v>
      </c>
      <c r="D35" s="57" t="str">
        <f>I49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57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57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57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46" t="s">
        <v>69</v>
      </c>
      <c r="J38">
        <f>RADIO_RxDone!J38</f>
        <v>0</v>
      </c>
    </row>
    <row r="39" spans="3:10" x14ac:dyDescent="0.25">
      <c r="C39" t="str">
        <f>RADIO_RxDone!C39</f>
        <v>preambleLen</v>
      </c>
      <c r="D39" s="57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57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57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46" t="s">
        <v>225</v>
      </c>
      <c r="J41">
        <f>RADIO_RxDone!J41</f>
        <v>0</v>
      </c>
    </row>
    <row r="42" spans="3:10" x14ac:dyDescent="0.25">
      <c r="C42" t="str">
        <f>RADIO_RxDone!C42</f>
        <v>FSKBitRate</v>
      </c>
      <c r="D42" s="57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46" t="s">
        <v>226</v>
      </c>
      <c r="J42">
        <f>RADIO_RxDone!J42</f>
        <v>0</v>
      </c>
    </row>
    <row r="43" spans="3:10" x14ac:dyDescent="0.25">
      <c r="C43" t="str">
        <f>RADIO_RxDone!C43</f>
        <v>FSK_PREAMBLE</v>
      </c>
      <c r="D43" s="57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46" t="s">
        <v>227</v>
      </c>
      <c r="J43">
        <f>RADIO_RxDone!J43</f>
        <v>0</v>
      </c>
    </row>
    <row r="44" spans="3:10" x14ac:dyDescent="0.25">
      <c r="C44" t="str">
        <f>RADIO_RxDone!C44</f>
        <v>fskDataShaping</v>
      </c>
      <c r="D44" s="57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39" t="s">
        <v>98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39" t="s">
        <v>39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2" t="s">
        <v>153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46" t="s">
        <v>93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39" t="s">
        <v>93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8" t="s">
        <v>5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2" t="str">
        <f>I58</f>
        <v>WATCHDOG_DEFAULT_TIME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C20" location="LoRa_TxDone_DATA!C1" display="LoRa_TxDone_DATA" xr:uid="{A120DEBD-7CC0-4BC9-B5C8-BC26409C5578}"/>
    <hyperlink ref="C21" location="LoRa_LoRa_TimerWaitAckCallback!C1" display="LoRa_TimerWaitAck_timeout" xr:uid="{440769DE-7522-475B-9AED-D3D46556C253}"/>
    <hyperlink ref="C22" location="RADIO_WatchdogTimeout!C1" display="watchdogTimerId_timeout" xr:uid="{C865B91D-F7ED-4F4E-9240-45649D0B49F6}"/>
    <hyperlink ref="C23" location="timeOnAirTimerId!C1" display="timeOnAirTimerId" xr:uid="{AF0D7B12-F4DD-4893-BA70-8612CB2618AD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105</v>
      </c>
      <c r="E1" s="2" t="s">
        <v>106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~RADIO_FLAG_RXDATA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~RADIO_FLAG_RXDATA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7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161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RADIO_FLAG_RECEIVING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C10" s="41" t="s">
        <v>13</v>
      </c>
      <c r="D10" s="37" t="s">
        <v>14</v>
      </c>
      <c r="E10" s="20"/>
      <c r="F10" s="51" t="s">
        <v>207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C11" s="33" t="s">
        <v>104</v>
      </c>
      <c r="D11" s="26"/>
      <c r="E11" s="20"/>
      <c r="F11" s="50" t="s">
        <v>207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C12" s="43" t="s">
        <v>199</v>
      </c>
      <c r="D12" s="44" t="s">
        <v>87</v>
      </c>
      <c r="E12" s="47" t="s">
        <v>86</v>
      </c>
      <c r="F12" s="49" t="s">
        <v>207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3" t="s">
        <v>198</v>
      </c>
      <c r="D13" s="54" t="s">
        <v>87</v>
      </c>
      <c r="E13" s="55" t="s">
        <v>86</v>
      </c>
      <c r="F13" s="56" t="s">
        <v>207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4" t="s">
        <v>154</v>
      </c>
      <c r="D14" s="65">
        <v>4</v>
      </c>
      <c r="E14" s="20"/>
      <c r="F14" s="66" t="s">
        <v>207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8" t="s">
        <v>149</v>
      </c>
      <c r="D15" s="59">
        <v>4</v>
      </c>
      <c r="E15" s="20"/>
      <c r="F15" s="60" t="s">
        <v>207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29" t="s">
        <v>19</v>
      </c>
      <c r="D20" s="26"/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29" t="s">
        <v>217</v>
      </c>
      <c r="D21" s="26"/>
      <c r="E21" s="20"/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29" t="s">
        <v>218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29" t="s">
        <v>190</v>
      </c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2" t="s">
        <v>156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2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1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2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1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1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1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0" x14ac:dyDescent="0.25">
      <c r="C33" t="str">
        <f>LoRa_RxDone_OK!C33</f>
        <v>SyncWord</v>
      </c>
      <c r="D33" s="61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0" x14ac:dyDescent="0.25">
      <c r="C34" t="str">
        <f>LoRa_RxDone_OK!C34</f>
        <v>CRC</v>
      </c>
      <c r="D34" s="61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7" t="s">
        <v>86</v>
      </c>
      <c r="J34">
        <f>LoRa_RxDone_OK!J34</f>
        <v>0</v>
      </c>
    </row>
    <row r="35" spans="3:10" x14ac:dyDescent="0.25">
      <c r="C35" t="str">
        <f>LoRa_RxDone_OK!C35</f>
        <v>IQInverted</v>
      </c>
      <c r="D35" s="61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0" x14ac:dyDescent="0.25">
      <c r="C36" t="str">
        <f>LoRa_RxDone_OK!C36</f>
        <v>HopPeriod</v>
      </c>
      <c r="D36" s="61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0" x14ac:dyDescent="0.25">
      <c r="C37" t="str">
        <f>LoRa_RxDone_OK!C37</f>
        <v>errorCodingRate</v>
      </c>
      <c r="D37" s="61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0" x14ac:dyDescent="0.25">
      <c r="C38" t="str">
        <f>LoRa_RxDone_OK!C38</f>
        <v>implicitHeaderMode</v>
      </c>
      <c r="D38" s="61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7" t="s">
        <v>69</v>
      </c>
      <c r="J38">
        <f>LoRa_RxDone_OK!J38</f>
        <v>0</v>
      </c>
    </row>
    <row r="39" spans="3:10" x14ac:dyDescent="0.25">
      <c r="C39" t="str">
        <f>LoRa_RxDone_OK!C39</f>
        <v>preambleLen</v>
      </c>
      <c r="D39" s="61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0" x14ac:dyDescent="0.25">
      <c r="C40" t="str">
        <f>LoRa_RxDone_OK!C40</f>
        <v>symbolTimeout</v>
      </c>
      <c r="D40" s="61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0" x14ac:dyDescent="0.25">
      <c r="C41" t="str">
        <f>LoRa_RxDone_OK!C41</f>
        <v>FSKfreqDeviation</v>
      </c>
      <c r="D41" s="61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7" t="s">
        <v>201</v>
      </c>
      <c r="J41">
        <f>LoRa_RxDone_OK!J41</f>
        <v>0</v>
      </c>
    </row>
    <row r="42" spans="3:10" x14ac:dyDescent="0.25">
      <c r="C42" t="str">
        <f>LoRa_RxDone_OK!C42</f>
        <v>FSKBitRate</v>
      </c>
      <c r="D42" s="61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7" t="s">
        <v>219</v>
      </c>
      <c r="J42">
        <f>LoRa_RxDone_OK!J42</f>
        <v>0</v>
      </c>
    </row>
    <row r="43" spans="3:10" x14ac:dyDescent="0.25">
      <c r="C43" t="str">
        <f>LoRa_RxDone_OK!C43</f>
        <v>FSK_PREAMBLE</v>
      </c>
      <c r="D43" s="61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7" t="s">
        <v>220</v>
      </c>
      <c r="J43">
        <f>LoRa_RxDone_OK!J43</f>
        <v>0</v>
      </c>
    </row>
    <row r="44" spans="3:10" x14ac:dyDescent="0.25">
      <c r="C44" t="str">
        <f>LoRa_RxDone_OK!C44</f>
        <v>fskDataShaping</v>
      </c>
      <c r="D44" s="61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0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0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0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3" t="s">
        <v>155</v>
      </c>
      <c r="J47">
        <f>LoRa_RxDone_OK!J47</f>
        <v>0</v>
      </c>
    </row>
    <row r="48" spans="3:10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7" t="s">
        <v>93</v>
      </c>
      <c r="J48">
        <f>LoRa_RxDone_OK!J48</f>
        <v>0</v>
      </c>
    </row>
    <row r="49" spans="3:10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>
        <f>LoRa_RxDone_OK!J49</f>
        <v>0</v>
      </c>
    </row>
    <row r="50" spans="3:10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3:10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3:10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0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0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0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0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0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3" t="str">
        <f>I58</f>
        <v>WATCHDOG_DEFAULT_TIME</v>
      </c>
      <c r="J57" t="str">
        <f>LoRa_RxDone_OK!J57</f>
        <v>RADIO_WatchdogTimeout</v>
      </c>
    </row>
    <row r="58" spans="3:10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0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0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0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0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0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0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C20" location="RADIO_RxDone!C1" display="LoRa_RxDone" xr:uid="{369B16DD-DC9A-4548-8763-20A359FBB6FE}"/>
    <hyperlink ref="C21" location="LoRa_TimerHandshakingCallback!C1" display="LoRa_TimerHandshaking_timeout" xr:uid="{A543E370-61F5-40F0-BA60-B9E932D3BEF4}"/>
    <hyperlink ref="C22" location="RADIO_WatchdogTimeout!C1" display="watchdogTimerId_timeout" xr:uid="{25022A16-003D-423F-ABC7-B66B6D3CD948}"/>
    <hyperlink ref="C23" location="timeOnAirTimerId!C1" display="timeOnAirTimerId" xr:uid="{CF3DF0A1-08A3-416B-8AAF-953F0C55F07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 t="e">
        <f>#REF!</f>
        <v>#REF!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 t="e">
        <f>#REF!</f>
        <v>#REF!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 t="e">
        <f>#REF!</f>
        <v>#REF!</v>
      </c>
      <c r="C5" t="str">
        <f>LoRa_TxDone_DATA!C5</f>
        <v>flags</v>
      </c>
      <c r="D5" s="2">
        <f>LoRa_TxDone_DATA!E5</f>
        <v>0</v>
      </c>
      <c r="E5" s="12" t="s">
        <v>66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 t="e">
        <f>#REF!</f>
        <v>#REF!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 t="e">
        <f>#REF!</f>
        <v>#REF!</v>
      </c>
      <c r="C8" s="19" t="s">
        <v>19</v>
      </c>
      <c r="D8" s="26" t="s">
        <v>105</v>
      </c>
      <c r="E8" s="20" t="s">
        <v>106</v>
      </c>
      <c r="F8" s="21" t="s">
        <v>162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161</v>
      </c>
      <c r="C9" s="19"/>
      <c r="D9" s="26"/>
      <c r="E9" s="20"/>
      <c r="F9" s="21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 t="e">
        <f>#REF!</f>
        <v>#REF!</v>
      </c>
      <c r="C22" s="29" t="s">
        <v>165</v>
      </c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 t="e">
        <f>#REF!</f>
        <v>#REF!</v>
      </c>
      <c r="C23" s="29" t="s">
        <v>166</v>
      </c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 t="e">
        <f>#REF!</f>
        <v>#REF!</v>
      </c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e">
        <f>#REF!</f>
        <v>#REF!</v>
      </c>
      <c r="C26" t="str">
        <f>LoRa_TxDone_DATA!C26</f>
        <v>mode</v>
      </c>
      <c r="D26" s="6" t="s">
        <v>125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 t="e">
        <f>#REF!</f>
        <v>#REF!</v>
      </c>
      <c r="C27" t="str">
        <f>LoRa_TxDone_DATA!C27</f>
        <v>modulation</v>
      </c>
      <c r="D27" s="6" t="s">
        <v>94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 t="e">
        <f>#REF!</f>
        <v>#REF!</v>
      </c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 t="e">
        <f>#REF!</f>
        <v>#REF!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 t="e">
        <f>#REF!</f>
        <v>#REF!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 t="e">
        <f>#REF!</f>
        <v>#REF!</v>
      </c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 t="e">
        <f>#REF!</f>
        <v>#REF!</v>
      </c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 t="e">
        <f>#REF!</f>
        <v>#REF!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 t="e">
        <f>#REF!</f>
        <v>#REF!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2:10" x14ac:dyDescent="0.25">
      <c r="B35" t="e">
        <f>#REF!</f>
        <v>#REF!</v>
      </c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 t="e">
        <f>#REF!</f>
        <v>#REF!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 t="e">
        <f>#REF!</f>
        <v>#REF!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 t="e">
        <f>#REF!</f>
        <v>#REF!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 t="e">
        <f>#REF!</f>
        <v>#REF!</v>
      </c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 t="e">
        <f>#REF!</f>
        <v>#REF!</v>
      </c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 t="e">
        <f>#REF!</f>
        <v>#REF!</v>
      </c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2:10" x14ac:dyDescent="0.25">
      <c r="B42" t="e">
        <f>#REF!</f>
        <v>#REF!</v>
      </c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2:10" x14ac:dyDescent="0.25">
      <c r="B43" t="e">
        <f>#REF!</f>
        <v>#REF!</v>
      </c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2:10" x14ac:dyDescent="0.25">
      <c r="B44" t="e">
        <f>#REF!</f>
        <v>#REF!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 t="e">
        <f>#REF!</f>
        <v>#REF!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 t="e">
        <f>#REF!</f>
        <v>#REF!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 t="e">
        <f>#REF!</f>
        <v>#REF!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66</v>
      </c>
      <c r="J47" s="12" t="s">
        <v>66</v>
      </c>
    </row>
    <row r="48" spans="2:10" x14ac:dyDescent="0.25">
      <c r="B48" t="e">
        <f>#REF!</f>
        <v>#REF!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 t="e">
        <f>#REF!</f>
        <v>#REF!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 t="e">
        <f>#REF!</f>
        <v>#REF!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 t="e">
        <f>#REF!</f>
        <v>#REF!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 t="e">
        <f>#REF!</f>
        <v>#REF!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 t="e">
        <f>#REF!</f>
        <v>#REF!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REG_LORA_RXNBBYTES</v>
      </c>
      <c r="J53">
        <f>LoRa_TxDone_DATA!J53</f>
        <v>0</v>
      </c>
    </row>
    <row r="54" spans="2:10" x14ac:dyDescent="0.25">
      <c r="B54" t="e">
        <f>#REF!</f>
        <v>#REF!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dane</v>
      </c>
      <c r="J54">
        <f>LoRa_TxDone_DATA!J54</f>
        <v>0</v>
      </c>
    </row>
    <row r="55" spans="2:10" x14ac:dyDescent="0.25">
      <c r="B55" t="e">
        <f>#REF!</f>
        <v>#REF!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 t="e">
        <f>#REF!</f>
        <v>#REF!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 t="e">
        <f>#REF!</f>
        <v>#REF!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66</v>
      </c>
      <c r="J57" t="str">
        <f>LoRa_TxDone_DATA!J57</f>
        <v>RADIO_WatchdogTimeout</v>
      </c>
    </row>
    <row r="58" spans="2:10" x14ac:dyDescent="0.25">
      <c r="B58" t="e">
        <f>#REF!</f>
        <v>#REF!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 t="e">
        <f>#REF!</f>
        <v>#REF!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 t="e">
        <f>#REF!</f>
        <v>#REF!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2:10" x14ac:dyDescent="0.25">
      <c r="B61" t="e">
        <f>#REF!</f>
        <v>#REF!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2:10" x14ac:dyDescent="0.25">
      <c r="B62" t="e">
        <f>#REF!</f>
        <v>#REF!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packetSNR</v>
      </c>
      <c r="J62">
        <f>LoRa_TxDone_DATA!J62</f>
        <v>0</v>
      </c>
    </row>
    <row r="63" spans="2:10" x14ac:dyDescent="0.25">
      <c r="B63" t="e">
        <f>#REF!</f>
        <v>#REF!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 t="e">
        <f>#REF!</f>
        <v>#REF!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 t="e">
        <f>#REF!</f>
        <v>#REF!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 t="e">
        <f>#REF!</f>
        <v>#REF!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 t="e">
        <f>#REF!</f>
        <v>#REF!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 t="e">
        <f>#REF!</f>
        <v>#REF!</v>
      </c>
      <c r="C68" t="e">
        <f>LoRa_TxDone_DATA!#REF!</f>
        <v>#REF!</v>
      </c>
      <c r="D68" s="2" t="e">
        <f>LoRa_TxDone_DATA!#REF!</f>
        <v>#REF!</v>
      </c>
      <c r="E68" t="e">
        <f>LoRa_TxDone_DATA!#REF!</f>
        <v>#REF!</v>
      </c>
      <c r="F68" t="e">
        <f>LoRa_TxDone_DATA!#REF!</f>
        <v>#REF!</v>
      </c>
      <c r="G68" t="e">
        <f>LoRa_TxDone_DATA!#REF!</f>
        <v>#REF!</v>
      </c>
      <c r="H68" t="e">
        <f>LoRa_TxDone_DATA!#REF!</f>
        <v>#REF!</v>
      </c>
      <c r="I68" s="2" t="e">
        <f>LoRa_TxDone_DATA!#REF!</f>
        <v>#REF!</v>
      </c>
      <c r="J68" t="e">
        <f>LoRa_TxDone_DATA!#REF!</f>
        <v>#REF!</v>
      </c>
    </row>
    <row r="69" spans="2:10" x14ac:dyDescent="0.25">
      <c r="B69" t="e">
        <f>#REF!</f>
        <v>#REF!</v>
      </c>
      <c r="C69" t="e">
        <f>LoRa_TxDone_DATA!#REF!</f>
        <v>#REF!</v>
      </c>
      <c r="D69" s="2" t="e">
        <f>LoRa_TxDone_DATA!#REF!</f>
        <v>#REF!</v>
      </c>
      <c r="E69" t="e">
        <f>LoRa_TxDone_DATA!#REF!</f>
        <v>#REF!</v>
      </c>
      <c r="F69" t="e">
        <f>LoRa_TxDone_DATA!#REF!</f>
        <v>#REF!</v>
      </c>
      <c r="G69" t="e">
        <f>LoRa_TxDone_DATA!#REF!</f>
        <v>#REF!</v>
      </c>
      <c r="H69" t="e">
        <f>LoRa_TxDone_DATA!#REF!</f>
        <v>#REF!</v>
      </c>
      <c r="I69" s="2" t="e">
        <f>LoRa_TxDone_DATA!#REF!</f>
        <v>#REF!</v>
      </c>
      <c r="J69" t="e">
        <f>LoRa_TxDone_DATA!#REF!</f>
        <v>#REF!</v>
      </c>
    </row>
    <row r="70" spans="2:10" x14ac:dyDescent="0.25">
      <c r="B70" t="e">
        <f>#REF!</f>
        <v>#REF!</v>
      </c>
      <c r="C70" t="e">
        <f>LoRa_TxDone_DATA!#REF!</f>
        <v>#REF!</v>
      </c>
      <c r="D70" s="2" t="e">
        <f>LoRa_TxDone_DATA!#REF!</f>
        <v>#REF!</v>
      </c>
      <c r="E70" t="e">
        <f>LoRa_TxDone_DATA!#REF!</f>
        <v>#REF!</v>
      </c>
      <c r="F70" t="e">
        <f>LoRa_TxDone_DATA!#REF!</f>
        <v>#REF!</v>
      </c>
      <c r="G70" t="e">
        <f>LoRa_TxDone_DATA!#REF!</f>
        <v>#REF!</v>
      </c>
      <c r="H70" t="e">
        <f>LoRa_TxDone_DATA!#REF!</f>
        <v>#REF!</v>
      </c>
      <c r="I70" s="2" t="e">
        <f>LoRa_TxDone_DATA!#REF!</f>
        <v>#REF!</v>
      </c>
      <c r="J70" t="e">
        <f>LoRa_TxDone_DATA!#REF!</f>
        <v>#REF!</v>
      </c>
    </row>
    <row r="71" spans="2:10" x14ac:dyDescent="0.25">
      <c r="B71" t="e">
        <f>#REF!</f>
        <v>#REF!</v>
      </c>
      <c r="C71" t="e">
        <f>LoRa_TxDone_DATA!#REF!</f>
        <v>#REF!</v>
      </c>
      <c r="D71" s="2" t="e">
        <f>LoRa_TxDone_DATA!#REF!</f>
        <v>#REF!</v>
      </c>
      <c r="E71" t="e">
        <f>LoRa_TxDone_DATA!#REF!</f>
        <v>#REF!</v>
      </c>
      <c r="F71" t="e">
        <f>LoRa_TxDone_DATA!#REF!</f>
        <v>#REF!</v>
      </c>
      <c r="G71" t="e">
        <f>LoRa_TxDone_DATA!#REF!</f>
        <v>#REF!</v>
      </c>
      <c r="H71" t="e">
        <f>LoRa_TxDone_DATA!#REF!</f>
        <v>#REF!</v>
      </c>
      <c r="I71" s="2" t="e">
        <f>LoRa_TxDone_DATA!#REF!</f>
        <v>#REF!</v>
      </c>
      <c r="J71" t="e">
        <f>LoRa_TxDone_DATA!#REF!</f>
        <v>#REF!</v>
      </c>
    </row>
    <row r="72" spans="2:10" x14ac:dyDescent="0.25">
      <c r="B72" t="e">
        <f>#REF!</f>
        <v>#REF!</v>
      </c>
      <c r="C72" t="e">
        <f>LoRa_TxDone_DATA!#REF!</f>
        <v>#REF!</v>
      </c>
      <c r="D72" s="2" t="e">
        <f>LoRa_TxDone_DATA!#REF!</f>
        <v>#REF!</v>
      </c>
      <c r="E72" t="e">
        <f>LoRa_TxDone_DATA!#REF!</f>
        <v>#REF!</v>
      </c>
      <c r="F72" t="e">
        <f>LoRa_TxDone_DATA!#REF!</f>
        <v>#REF!</v>
      </c>
      <c r="G72" t="e">
        <f>LoRa_TxDone_DATA!#REF!</f>
        <v>#REF!</v>
      </c>
      <c r="H72" t="e">
        <f>LoRa_TxDone_DATA!#REF!</f>
        <v>#REF!</v>
      </c>
      <c r="I72" s="2" t="e">
        <f>LoRa_TxDone_DATA!#REF!</f>
        <v>#REF!</v>
      </c>
      <c r="J72" t="e">
        <f>LoRa_TxDone_DATA!#REF!</f>
        <v>#REF!</v>
      </c>
    </row>
    <row r="73" spans="2:10" x14ac:dyDescent="0.25">
      <c r="B73" t="e">
        <f>#REF!</f>
        <v>#REF!</v>
      </c>
      <c r="C73" t="e">
        <f>LoRa_TxDone_DATA!#REF!</f>
        <v>#REF!</v>
      </c>
      <c r="D73" s="2" t="e">
        <f>LoRa_TxDone_DATA!#REF!</f>
        <v>#REF!</v>
      </c>
      <c r="E73" t="e">
        <f>LoRa_TxDone_DATA!#REF!</f>
        <v>#REF!</v>
      </c>
      <c r="F73" t="e">
        <f>LoRa_TxDone_DATA!#REF!</f>
        <v>#REF!</v>
      </c>
      <c r="G73" t="e">
        <f>LoRa_TxDone_DATA!#REF!</f>
        <v>#REF!</v>
      </c>
      <c r="H73" t="e">
        <f>LoRa_TxDone_DATA!#REF!</f>
        <v>#REF!</v>
      </c>
      <c r="I73" s="2" t="e">
        <f>LoRa_TxDone_DATA!#REF!</f>
        <v>#REF!</v>
      </c>
      <c r="J73" t="e">
        <f>LoRa_TxDone_DATA!#REF!</f>
        <v>#REF!</v>
      </c>
    </row>
    <row r="74" spans="2:10" x14ac:dyDescent="0.25">
      <c r="B74" t="e">
        <f>#REF!</f>
        <v>#REF!</v>
      </c>
      <c r="C74" t="e">
        <f>LoRa_TxDone_DATA!#REF!</f>
        <v>#REF!</v>
      </c>
      <c r="D74" s="2" t="e">
        <f>LoRa_TxDone_DATA!#REF!</f>
        <v>#REF!</v>
      </c>
      <c r="E74" t="e">
        <f>LoRa_TxDone_DATA!#REF!</f>
        <v>#REF!</v>
      </c>
      <c r="F74" t="e">
        <f>LoRa_TxDone_DATA!#REF!</f>
        <v>#REF!</v>
      </c>
      <c r="G74" t="e">
        <f>LoRa_TxDone_DATA!#REF!</f>
        <v>#REF!</v>
      </c>
      <c r="H74" t="e">
        <f>LoRa_TxDone_DATA!#REF!</f>
        <v>#REF!</v>
      </c>
      <c r="I74" s="2" t="e">
        <f>LoRa_TxDone_DATA!#REF!</f>
        <v>#REF!</v>
      </c>
      <c r="J74" t="e">
        <f>LoRa_TxDone_DATA!#REF!</f>
        <v>#REF!</v>
      </c>
    </row>
    <row r="75" spans="2:10" x14ac:dyDescent="0.25">
      <c r="B75" t="e">
        <f>#REF!</f>
        <v>#REF!</v>
      </c>
      <c r="C75" t="e">
        <f>LoRa_TxDone_DATA!#REF!</f>
        <v>#REF!</v>
      </c>
      <c r="D75" s="2" t="e">
        <f>LoRa_TxDone_DATA!#REF!</f>
        <v>#REF!</v>
      </c>
      <c r="E75" t="e">
        <f>LoRa_TxDone_DATA!#REF!</f>
        <v>#REF!</v>
      </c>
      <c r="F75" t="e">
        <f>LoRa_TxDone_DATA!#REF!</f>
        <v>#REF!</v>
      </c>
      <c r="G75" t="e">
        <f>LoRa_TxDone_DATA!#REF!</f>
        <v>#REF!</v>
      </c>
      <c r="H75" t="e">
        <f>LoRa_TxDone_DATA!#REF!</f>
        <v>#REF!</v>
      </c>
      <c r="I75" s="2" t="e">
        <f>LoRa_TxDone_DATA!#REF!</f>
        <v>#REF!</v>
      </c>
      <c r="J75" t="e">
        <f>LoRa_TxDone_DATA!#REF!</f>
        <v>#REF!</v>
      </c>
    </row>
    <row r="76" spans="2:10" x14ac:dyDescent="0.25">
      <c r="B76" t="e">
        <f>#REF!</f>
        <v>#REF!</v>
      </c>
      <c r="C76" t="e">
        <f>LoRa_TxDone_DATA!#REF!</f>
        <v>#REF!</v>
      </c>
      <c r="D76" s="2" t="e">
        <f>LoRa_TxDone_DATA!#REF!</f>
        <v>#REF!</v>
      </c>
      <c r="E76" t="e">
        <f>LoRa_TxDone_DATA!#REF!</f>
        <v>#REF!</v>
      </c>
      <c r="F76" t="e">
        <f>LoRa_TxDone_DATA!#REF!</f>
        <v>#REF!</v>
      </c>
      <c r="G76" t="e">
        <f>LoRa_TxDone_DATA!#REF!</f>
        <v>#REF!</v>
      </c>
      <c r="H76" t="e">
        <f>LoRa_TxDone_DATA!#REF!</f>
        <v>#REF!</v>
      </c>
      <c r="I76" s="2" t="e">
        <f>LoRa_TxDone_DATA!#REF!</f>
        <v>#REF!</v>
      </c>
      <c r="J76" t="e">
        <f>LoRa_TxDone_DATA!#REF!</f>
        <v>#REF!</v>
      </c>
    </row>
    <row r="77" spans="2:10" x14ac:dyDescent="0.25">
      <c r="B77" t="e">
        <f>#REF!</f>
        <v>#REF!</v>
      </c>
      <c r="C77" t="e">
        <f>LoRa_TxDone_DATA!#REF!</f>
        <v>#REF!</v>
      </c>
      <c r="D77" s="2" t="e">
        <f>LoRa_TxDone_DATA!#REF!</f>
        <v>#REF!</v>
      </c>
      <c r="E77" t="e">
        <f>LoRa_TxDone_DATA!#REF!</f>
        <v>#REF!</v>
      </c>
      <c r="F77" t="e">
        <f>LoRa_TxDone_DATA!#REF!</f>
        <v>#REF!</v>
      </c>
      <c r="G77" t="e">
        <f>LoRa_TxDone_DATA!#REF!</f>
        <v>#REF!</v>
      </c>
      <c r="H77" t="e">
        <f>LoRa_TxDone_DATA!#REF!</f>
        <v>#REF!</v>
      </c>
      <c r="I77" s="2" t="e">
        <f>LoRa_TxDone_DATA!#REF!</f>
        <v>#REF!</v>
      </c>
      <c r="J77" t="e">
        <f>LoRa_TxDone_DATA!#REF!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109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168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164</v>
      </c>
      <c r="C9" s="19" t="s">
        <v>167</v>
      </c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8" t="s">
        <v>66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159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66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66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 t="e">
        <f>#REF!</f>
        <v>#REF!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 t="e">
        <f>#REF!</f>
        <v>#REF!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 t="e">
        <f>#REF!</f>
        <v>#REF!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 t="e">
        <f>#REF!</f>
        <v>#REF!</v>
      </c>
      <c r="C68" t="e">
        <f>RADIO_RxDone_DATA!C68</f>
        <v>#REF!</v>
      </c>
      <c r="D68" s="2" t="e">
        <f>RADIO_RxDone_DATA!D68</f>
        <v>#REF!</v>
      </c>
      <c r="E68" t="e">
        <f>RADIO_RxDone_DATA!E68</f>
        <v>#REF!</v>
      </c>
      <c r="F68" t="e">
        <f>RADIO_RxDone_DATA!F68</f>
        <v>#REF!</v>
      </c>
      <c r="G68" t="e">
        <f>RADIO_RxDone_DATA!G68</f>
        <v>#REF!</v>
      </c>
      <c r="H68" t="e">
        <f>RADIO_RxDone_DATA!H68</f>
        <v>#REF!</v>
      </c>
      <c r="I68" s="2" t="e">
        <f>RADIO_RxDone_DATA!I68</f>
        <v>#REF!</v>
      </c>
      <c r="J68" t="e">
        <f>RADIO_RxDone_DATA!J68</f>
        <v>#REF!</v>
      </c>
    </row>
    <row r="69" spans="2:10" x14ac:dyDescent="0.25">
      <c r="B69" t="e">
        <f>#REF!</f>
        <v>#REF!</v>
      </c>
      <c r="C69" t="e">
        <f>RADIO_RxDone_DATA!C69</f>
        <v>#REF!</v>
      </c>
      <c r="D69" s="2" t="e">
        <f>RADIO_RxDone_DATA!D69</f>
        <v>#REF!</v>
      </c>
      <c r="E69" t="e">
        <f>RADIO_RxDone_DATA!E69</f>
        <v>#REF!</v>
      </c>
      <c r="F69" t="e">
        <f>RADIO_RxDone_DATA!F69</f>
        <v>#REF!</v>
      </c>
      <c r="G69" t="e">
        <f>RADIO_RxDone_DATA!G69</f>
        <v>#REF!</v>
      </c>
      <c r="H69" t="e">
        <f>RADIO_RxDone_DATA!H69</f>
        <v>#REF!</v>
      </c>
      <c r="I69" s="2" t="e">
        <f>RADIO_RxDone_DATA!I69</f>
        <v>#REF!</v>
      </c>
      <c r="J69" t="e">
        <f>RADIO_RxDone_DATA!J69</f>
        <v>#REF!</v>
      </c>
    </row>
    <row r="70" spans="2:10" x14ac:dyDescent="0.25">
      <c r="B70" t="e">
        <f>#REF!</f>
        <v>#REF!</v>
      </c>
      <c r="C70" t="e">
        <f>RADIO_RxDone_DATA!C70</f>
        <v>#REF!</v>
      </c>
      <c r="D70" s="2" t="e">
        <f>RADIO_RxDone_DATA!D70</f>
        <v>#REF!</v>
      </c>
      <c r="E70" t="e">
        <f>RADIO_RxDone_DATA!E70</f>
        <v>#REF!</v>
      </c>
      <c r="F70" t="e">
        <f>RADIO_RxDone_DATA!F70</f>
        <v>#REF!</v>
      </c>
      <c r="G70" t="e">
        <f>RADIO_RxDone_DATA!G70</f>
        <v>#REF!</v>
      </c>
      <c r="H70" t="e">
        <f>RADIO_RxDone_DATA!H70</f>
        <v>#REF!</v>
      </c>
      <c r="I70" s="2" t="e">
        <f>RADIO_RxDone_DATA!I70</f>
        <v>#REF!</v>
      </c>
      <c r="J70" t="e">
        <f>RADIO_RxDone_DATA!J70</f>
        <v>#REF!</v>
      </c>
    </row>
    <row r="71" spans="2:10" x14ac:dyDescent="0.25">
      <c r="B71" t="e">
        <f>#REF!</f>
        <v>#REF!</v>
      </c>
      <c r="C71" t="e">
        <f>RADIO_RxDone_DATA!C71</f>
        <v>#REF!</v>
      </c>
      <c r="D71" s="2" t="e">
        <f>RADIO_RxDone_DATA!D71</f>
        <v>#REF!</v>
      </c>
      <c r="E71" t="e">
        <f>RADIO_RxDone_DATA!E71</f>
        <v>#REF!</v>
      </c>
      <c r="F71" t="e">
        <f>RADIO_RxDone_DATA!F71</f>
        <v>#REF!</v>
      </c>
      <c r="G71" t="e">
        <f>RADIO_RxDone_DATA!G71</f>
        <v>#REF!</v>
      </c>
      <c r="H71" t="e">
        <f>RADIO_RxDone_DATA!H71</f>
        <v>#REF!</v>
      </c>
      <c r="I71" s="2" t="e">
        <f>RADIO_RxDone_DATA!I71</f>
        <v>#REF!</v>
      </c>
      <c r="J71" t="e">
        <f>RADIO_RxDone_DATA!J71</f>
        <v>#REF!</v>
      </c>
    </row>
    <row r="72" spans="2:10" x14ac:dyDescent="0.25">
      <c r="B72" t="e">
        <f>#REF!</f>
        <v>#REF!</v>
      </c>
      <c r="C72" t="e">
        <f>RADIO_RxDone_DATA!C72</f>
        <v>#REF!</v>
      </c>
      <c r="D72" s="2" t="e">
        <f>RADIO_RxDone_DATA!D72</f>
        <v>#REF!</v>
      </c>
      <c r="E72" t="e">
        <f>RADIO_RxDone_DATA!E72</f>
        <v>#REF!</v>
      </c>
      <c r="F72" t="e">
        <f>RADIO_RxDone_DATA!F72</f>
        <v>#REF!</v>
      </c>
      <c r="G72" t="e">
        <f>RADIO_RxDone_DATA!G72</f>
        <v>#REF!</v>
      </c>
      <c r="H72" t="e">
        <f>RADIO_RxDone_DATA!H72</f>
        <v>#REF!</v>
      </c>
      <c r="I72" s="2" t="e">
        <f>RADIO_RxDone_DATA!I72</f>
        <v>#REF!</v>
      </c>
      <c r="J72" t="e">
        <f>RADIO_RxDone_DATA!J72</f>
        <v>#REF!</v>
      </c>
    </row>
    <row r="73" spans="2:10" x14ac:dyDescent="0.25">
      <c r="B73" t="e">
        <f>#REF!</f>
        <v>#REF!</v>
      </c>
      <c r="C73" t="e">
        <f>RADIO_RxDone_DATA!C73</f>
        <v>#REF!</v>
      </c>
      <c r="D73" s="2" t="e">
        <f>RADIO_RxDone_DATA!D73</f>
        <v>#REF!</v>
      </c>
      <c r="E73" t="e">
        <f>RADIO_RxDone_DATA!E73</f>
        <v>#REF!</v>
      </c>
      <c r="F73" t="e">
        <f>RADIO_RxDone_DATA!F73</f>
        <v>#REF!</v>
      </c>
      <c r="G73" t="e">
        <f>RADIO_RxDone_DATA!G73</f>
        <v>#REF!</v>
      </c>
      <c r="H73" t="e">
        <f>RADIO_RxDone_DATA!H73</f>
        <v>#REF!</v>
      </c>
      <c r="I73" s="2" t="e">
        <f>RADIO_RxDone_DATA!I73</f>
        <v>#REF!</v>
      </c>
      <c r="J73" t="e">
        <f>RADIO_RxDone_DATA!J73</f>
        <v>#REF!</v>
      </c>
    </row>
    <row r="74" spans="2:10" x14ac:dyDescent="0.25">
      <c r="B74" t="e">
        <f>#REF!</f>
        <v>#REF!</v>
      </c>
      <c r="C74" t="e">
        <f>RADIO_RxDone_DATA!C74</f>
        <v>#REF!</v>
      </c>
      <c r="D74" s="2" t="e">
        <f>RADIO_RxDone_DATA!D74</f>
        <v>#REF!</v>
      </c>
      <c r="E74" t="e">
        <f>RADIO_RxDone_DATA!E74</f>
        <v>#REF!</v>
      </c>
      <c r="F74" t="e">
        <f>RADIO_RxDone_DATA!F74</f>
        <v>#REF!</v>
      </c>
      <c r="G74" t="e">
        <f>RADIO_RxDone_DATA!G74</f>
        <v>#REF!</v>
      </c>
      <c r="H74" t="e">
        <f>RADIO_RxDone_DATA!H74</f>
        <v>#REF!</v>
      </c>
      <c r="I74" s="2" t="e">
        <f>RADIO_RxDone_DATA!I74</f>
        <v>#REF!</v>
      </c>
      <c r="J74" t="e">
        <f>RADIO_RxDone_DATA!J74</f>
        <v>#REF!</v>
      </c>
    </row>
    <row r="75" spans="2:10" x14ac:dyDescent="0.25">
      <c r="B75" t="e">
        <f>#REF!</f>
        <v>#REF!</v>
      </c>
      <c r="C75" t="e">
        <f>RADIO_RxDone_DATA!C75</f>
        <v>#REF!</v>
      </c>
      <c r="D75" s="2" t="e">
        <f>RADIO_RxDone_DATA!D75</f>
        <v>#REF!</v>
      </c>
      <c r="E75" t="e">
        <f>RADIO_RxDone_DATA!E75</f>
        <v>#REF!</v>
      </c>
      <c r="F75" t="e">
        <f>RADIO_RxDone_DATA!F75</f>
        <v>#REF!</v>
      </c>
      <c r="G75" t="e">
        <f>RADIO_RxDone_DATA!G75</f>
        <v>#REF!</v>
      </c>
      <c r="H75" t="e">
        <f>RADIO_RxDone_DATA!H75</f>
        <v>#REF!</v>
      </c>
      <c r="I75" s="2" t="e">
        <f>RADIO_RxDone_DATA!I75</f>
        <v>#REF!</v>
      </c>
      <c r="J75" t="e">
        <f>RADIO_RxDone_DATA!J75</f>
        <v>#REF!</v>
      </c>
    </row>
    <row r="76" spans="2:10" x14ac:dyDescent="0.25">
      <c r="B76" t="e">
        <f>#REF!</f>
        <v>#REF!</v>
      </c>
      <c r="C76" t="e">
        <f>RADIO_RxDone_DATA!C76</f>
        <v>#REF!</v>
      </c>
      <c r="D76" s="2" t="e">
        <f>RADIO_RxDone_DATA!D76</f>
        <v>#REF!</v>
      </c>
      <c r="E76" t="e">
        <f>RADIO_RxDone_DATA!E76</f>
        <v>#REF!</v>
      </c>
      <c r="F76" t="e">
        <f>RADIO_RxDone_DATA!F76</f>
        <v>#REF!</v>
      </c>
      <c r="G76" t="e">
        <f>RADIO_RxDone_DATA!G76</f>
        <v>#REF!</v>
      </c>
      <c r="H76" t="e">
        <f>RADIO_RxDone_DATA!H76</f>
        <v>#REF!</v>
      </c>
      <c r="I76" s="2" t="e">
        <f>RADIO_RxDone_DATA!I76</f>
        <v>#REF!</v>
      </c>
      <c r="J76" t="e">
        <f>RADIO_RxDone_DATA!J76</f>
        <v>#REF!</v>
      </c>
    </row>
    <row r="77" spans="2:10" x14ac:dyDescent="0.25">
      <c r="B77" t="e">
        <f>#REF!</f>
        <v>#REF!</v>
      </c>
      <c r="C77" t="e">
        <f>RADIO_RxDone_DATA!C77</f>
        <v>#REF!</v>
      </c>
      <c r="D77" s="2" t="e">
        <f>RADIO_RxDone_DATA!D77</f>
        <v>#REF!</v>
      </c>
      <c r="E77" t="e">
        <f>RADIO_RxDone_DATA!E77</f>
        <v>#REF!</v>
      </c>
      <c r="F77" t="e">
        <f>RADIO_RxDone_DATA!F77</f>
        <v>#REF!</v>
      </c>
      <c r="G77" t="e">
        <f>RADIO_RxDone_DATA!G77</f>
        <v>#REF!</v>
      </c>
      <c r="H77" t="e">
        <f>RADIO_RxDone_DATA!H77</f>
        <v>#REF!</v>
      </c>
      <c r="I77" s="2" t="e">
        <f>RADIO_RxDone_DATA!I77</f>
        <v>#REF!</v>
      </c>
      <c r="J77" t="e">
        <f>RADIO_RxDone_DATA!J77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164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 t="e">
        <f>#REF!</f>
        <v>#REF!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 t="e">
        <f>#REF!</f>
        <v>#REF!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 t="e">
        <f>#REF!</f>
        <v>#REF!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 t="e">
        <f>#REF!</f>
        <v>#REF!</v>
      </c>
      <c r="C68" t="e">
        <f>RADIO_RxDone_DATA!C68</f>
        <v>#REF!</v>
      </c>
      <c r="D68" s="2" t="e">
        <f>RADIO_RxDone_DATA!D68</f>
        <v>#REF!</v>
      </c>
      <c r="E68" t="e">
        <f>RADIO_RxDone_DATA!E68</f>
        <v>#REF!</v>
      </c>
      <c r="F68" t="e">
        <f>RADIO_RxDone_DATA!F68</f>
        <v>#REF!</v>
      </c>
      <c r="G68" t="e">
        <f>RADIO_RxDone_DATA!G68</f>
        <v>#REF!</v>
      </c>
      <c r="H68" t="e">
        <f>RADIO_RxDone_DATA!H68</f>
        <v>#REF!</v>
      </c>
      <c r="I68" s="2" t="e">
        <f>RADIO_RxDone_DATA!I68</f>
        <v>#REF!</v>
      </c>
      <c r="J68" t="e">
        <f>RADIO_RxDone_DATA!J68</f>
        <v>#REF!</v>
      </c>
    </row>
    <row r="69" spans="2:10" x14ac:dyDescent="0.25">
      <c r="B69" t="e">
        <f>#REF!</f>
        <v>#REF!</v>
      </c>
      <c r="C69" t="e">
        <f>RADIO_RxDone_DATA!C69</f>
        <v>#REF!</v>
      </c>
      <c r="D69" s="2" t="e">
        <f>RADIO_RxDone_DATA!D69</f>
        <v>#REF!</v>
      </c>
      <c r="E69" t="e">
        <f>RADIO_RxDone_DATA!E69</f>
        <v>#REF!</v>
      </c>
      <c r="F69" t="e">
        <f>RADIO_RxDone_DATA!F69</f>
        <v>#REF!</v>
      </c>
      <c r="G69" t="e">
        <f>RADIO_RxDone_DATA!G69</f>
        <v>#REF!</v>
      </c>
      <c r="H69" t="e">
        <f>RADIO_RxDone_DATA!H69</f>
        <v>#REF!</v>
      </c>
      <c r="I69" s="2" t="e">
        <f>RADIO_RxDone_DATA!I69</f>
        <v>#REF!</v>
      </c>
      <c r="J69" t="e">
        <f>RADIO_RxDone_DATA!J69</f>
        <v>#REF!</v>
      </c>
    </row>
    <row r="70" spans="2:10" x14ac:dyDescent="0.25">
      <c r="B70" t="e">
        <f>#REF!</f>
        <v>#REF!</v>
      </c>
      <c r="C70" t="e">
        <f>RADIO_RxDone_DATA!C70</f>
        <v>#REF!</v>
      </c>
      <c r="D70" s="2" t="e">
        <f>RADIO_RxDone_DATA!D70</f>
        <v>#REF!</v>
      </c>
      <c r="E70" t="e">
        <f>RADIO_RxDone_DATA!E70</f>
        <v>#REF!</v>
      </c>
      <c r="F70" t="e">
        <f>RADIO_RxDone_DATA!F70</f>
        <v>#REF!</v>
      </c>
      <c r="G70" t="e">
        <f>RADIO_RxDone_DATA!G70</f>
        <v>#REF!</v>
      </c>
      <c r="H70" t="e">
        <f>RADIO_RxDone_DATA!H70</f>
        <v>#REF!</v>
      </c>
      <c r="I70" s="2" t="e">
        <f>RADIO_RxDone_DATA!I70</f>
        <v>#REF!</v>
      </c>
      <c r="J70" t="e">
        <f>RADIO_RxDone_DATA!J70</f>
        <v>#REF!</v>
      </c>
    </row>
    <row r="71" spans="2:10" x14ac:dyDescent="0.25">
      <c r="B71" t="e">
        <f>#REF!</f>
        <v>#REF!</v>
      </c>
      <c r="C71" t="e">
        <f>RADIO_RxDone_DATA!C71</f>
        <v>#REF!</v>
      </c>
      <c r="D71" s="2" t="e">
        <f>RADIO_RxDone_DATA!D71</f>
        <v>#REF!</v>
      </c>
      <c r="E71" t="e">
        <f>RADIO_RxDone_DATA!E71</f>
        <v>#REF!</v>
      </c>
      <c r="F71" t="e">
        <f>RADIO_RxDone_DATA!F71</f>
        <v>#REF!</v>
      </c>
      <c r="G71" t="e">
        <f>RADIO_RxDone_DATA!G71</f>
        <v>#REF!</v>
      </c>
      <c r="H71" t="e">
        <f>RADIO_RxDone_DATA!H71</f>
        <v>#REF!</v>
      </c>
      <c r="I71" s="2" t="e">
        <f>RADIO_RxDone_DATA!I71</f>
        <v>#REF!</v>
      </c>
      <c r="J71" t="e">
        <f>RADIO_RxDone_DATA!J71</f>
        <v>#REF!</v>
      </c>
    </row>
    <row r="72" spans="2:10" x14ac:dyDescent="0.25">
      <c r="B72" t="e">
        <f>#REF!</f>
        <v>#REF!</v>
      </c>
      <c r="C72" t="e">
        <f>RADIO_RxDone_DATA!C72</f>
        <v>#REF!</v>
      </c>
      <c r="D72" s="2" t="e">
        <f>RADIO_RxDone_DATA!D72</f>
        <v>#REF!</v>
      </c>
      <c r="E72" t="e">
        <f>RADIO_RxDone_DATA!E72</f>
        <v>#REF!</v>
      </c>
      <c r="F72" t="e">
        <f>RADIO_RxDone_DATA!F72</f>
        <v>#REF!</v>
      </c>
      <c r="G72" t="e">
        <f>RADIO_RxDone_DATA!G72</f>
        <v>#REF!</v>
      </c>
      <c r="H72" t="e">
        <f>RADIO_RxDone_DATA!H72</f>
        <v>#REF!</v>
      </c>
      <c r="I72" s="2" t="e">
        <f>RADIO_RxDone_DATA!I72</f>
        <v>#REF!</v>
      </c>
      <c r="J72" t="e">
        <f>RADIO_RxDone_DATA!J72</f>
        <v>#REF!</v>
      </c>
    </row>
    <row r="73" spans="2:10" x14ac:dyDescent="0.25">
      <c r="B73" t="e">
        <f>#REF!</f>
        <v>#REF!</v>
      </c>
      <c r="C73" t="e">
        <f>RADIO_RxDone_DATA!C73</f>
        <v>#REF!</v>
      </c>
      <c r="D73" s="2" t="e">
        <f>RADIO_RxDone_DATA!D73</f>
        <v>#REF!</v>
      </c>
      <c r="E73" t="e">
        <f>RADIO_RxDone_DATA!E73</f>
        <v>#REF!</v>
      </c>
      <c r="F73" t="e">
        <f>RADIO_RxDone_DATA!F73</f>
        <v>#REF!</v>
      </c>
      <c r="G73" t="e">
        <f>RADIO_RxDone_DATA!G73</f>
        <v>#REF!</v>
      </c>
      <c r="H73" t="e">
        <f>RADIO_RxDone_DATA!H73</f>
        <v>#REF!</v>
      </c>
      <c r="I73" s="2" t="e">
        <f>RADIO_RxDone_DATA!I73</f>
        <v>#REF!</v>
      </c>
      <c r="J73" t="e">
        <f>RADIO_RxDone_DATA!J73</f>
        <v>#REF!</v>
      </c>
    </row>
    <row r="74" spans="2:10" x14ac:dyDescent="0.25">
      <c r="B74" t="e">
        <f>#REF!</f>
        <v>#REF!</v>
      </c>
      <c r="C74" t="e">
        <f>RADIO_RxDone_DATA!C74</f>
        <v>#REF!</v>
      </c>
      <c r="D74" s="2" t="e">
        <f>RADIO_RxDone_DATA!D74</f>
        <v>#REF!</v>
      </c>
      <c r="E74" t="e">
        <f>RADIO_RxDone_DATA!E74</f>
        <v>#REF!</v>
      </c>
      <c r="F74" t="e">
        <f>RADIO_RxDone_DATA!F74</f>
        <v>#REF!</v>
      </c>
      <c r="G74" t="e">
        <f>RADIO_RxDone_DATA!G74</f>
        <v>#REF!</v>
      </c>
      <c r="H74" t="e">
        <f>RADIO_RxDone_DATA!H74</f>
        <v>#REF!</v>
      </c>
      <c r="I74" s="2" t="e">
        <f>RADIO_RxDone_DATA!I74</f>
        <v>#REF!</v>
      </c>
      <c r="J74" t="e">
        <f>RADIO_RxDone_DATA!J74</f>
        <v>#REF!</v>
      </c>
    </row>
    <row r="75" spans="2:10" x14ac:dyDescent="0.25">
      <c r="B75" t="e">
        <f>#REF!</f>
        <v>#REF!</v>
      </c>
      <c r="C75" t="e">
        <f>RADIO_RxDone_DATA!C75</f>
        <v>#REF!</v>
      </c>
      <c r="D75" s="2" t="e">
        <f>RADIO_RxDone_DATA!D75</f>
        <v>#REF!</v>
      </c>
      <c r="E75" t="e">
        <f>RADIO_RxDone_DATA!E75</f>
        <v>#REF!</v>
      </c>
      <c r="F75" t="e">
        <f>RADIO_RxDone_DATA!F75</f>
        <v>#REF!</v>
      </c>
      <c r="G75" t="e">
        <f>RADIO_RxDone_DATA!G75</f>
        <v>#REF!</v>
      </c>
      <c r="H75" t="e">
        <f>RADIO_RxDone_DATA!H75</f>
        <v>#REF!</v>
      </c>
      <c r="I75" s="2" t="e">
        <f>RADIO_RxDone_DATA!I75</f>
        <v>#REF!</v>
      </c>
      <c r="J75" t="e">
        <f>RADIO_RxDone_DATA!J75</f>
        <v>#REF!</v>
      </c>
    </row>
    <row r="76" spans="2:10" x14ac:dyDescent="0.25">
      <c r="B76" t="e">
        <f>#REF!</f>
        <v>#REF!</v>
      </c>
      <c r="C76" t="e">
        <f>RADIO_RxDone_DATA!C76</f>
        <v>#REF!</v>
      </c>
      <c r="D76" s="2" t="e">
        <f>RADIO_RxDone_DATA!D76</f>
        <v>#REF!</v>
      </c>
      <c r="E76" t="e">
        <f>RADIO_RxDone_DATA!E76</f>
        <v>#REF!</v>
      </c>
      <c r="F76" t="e">
        <f>RADIO_RxDone_DATA!F76</f>
        <v>#REF!</v>
      </c>
      <c r="G76" t="e">
        <f>RADIO_RxDone_DATA!G76</f>
        <v>#REF!</v>
      </c>
      <c r="H76" t="e">
        <f>RADIO_RxDone_DATA!H76</f>
        <v>#REF!</v>
      </c>
      <c r="I76" s="2" t="e">
        <f>RADIO_RxDone_DATA!I76</f>
        <v>#REF!</v>
      </c>
      <c r="J76" t="e">
        <f>RADIO_RxDone_DATA!J76</f>
        <v>#REF!</v>
      </c>
    </row>
    <row r="77" spans="2:10" x14ac:dyDescent="0.25">
      <c r="B77" t="e">
        <f>#REF!</f>
        <v>#REF!</v>
      </c>
      <c r="C77" t="e">
        <f>RADIO_RxDone_DATA!C77</f>
        <v>#REF!</v>
      </c>
      <c r="D77" s="2" t="e">
        <f>RADIO_RxDone_DATA!D77</f>
        <v>#REF!</v>
      </c>
      <c r="E77" t="e">
        <f>RADIO_RxDone_DATA!E77</f>
        <v>#REF!</v>
      </c>
      <c r="F77" t="e">
        <f>RADIO_RxDone_DATA!F77</f>
        <v>#REF!</v>
      </c>
      <c r="G77" t="e">
        <f>RADIO_RxDone_DATA!G77</f>
        <v>#REF!</v>
      </c>
      <c r="H77" t="e">
        <f>RADIO_RxDone_DATA!H77</f>
        <v>#REF!</v>
      </c>
      <c r="I77" s="2" t="e">
        <f>RADIO_RxDone_DATA!I77</f>
        <v>#REF!</v>
      </c>
      <c r="J77" t="e">
        <f>RADIO_RxDone_DATA!J77</f>
        <v>#REF!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2019-12-06T15:16:54Z</dcterms:modified>
</cp:coreProperties>
</file>