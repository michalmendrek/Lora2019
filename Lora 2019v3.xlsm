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C4D286BA-4471-46E8-ACA3-93F16BB7F391}" xr6:coauthVersionLast="45" xr6:coauthVersionMax="45" xr10:uidLastSave="{00000000-0000-0000-0000-000000000000}"/>
  <bookViews>
    <workbookView xWindow="-109" yWindow="-109" windowWidth="26301" windowHeight="14305" activeTab="5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26" l="1"/>
  <c r="D41" i="26"/>
  <c r="D44" i="26"/>
  <c r="D42" i="26"/>
  <c r="D43" i="26"/>
  <c r="D39" i="26"/>
  <c r="D35" i="26"/>
  <c r="D36" i="26"/>
  <c r="D34" i="26"/>
  <c r="D31" i="26"/>
  <c r="D38" i="26"/>
  <c r="D37" i="26"/>
  <c r="D32" i="26"/>
  <c r="D33" i="26"/>
  <c r="D30" i="26"/>
  <c r="D28" i="26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I35" i="26"/>
  <c r="J35" i="26"/>
  <c r="C36" i="26"/>
  <c r="E36" i="26"/>
  <c r="F36" i="26"/>
  <c r="G36" i="26"/>
  <c r="H36" i="26"/>
  <c r="I36" i="26"/>
  <c r="J36" i="26"/>
  <c r="C37" i="26"/>
  <c r="E37" i="26"/>
  <c r="F37" i="26"/>
  <c r="G37" i="26"/>
  <c r="H37" i="26"/>
  <c r="I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J47" i="26"/>
  <c r="C48" i="26"/>
  <c r="D48" i="26"/>
  <c r="E48" i="26"/>
  <c r="F48" i="26"/>
  <c r="G48" i="26"/>
  <c r="H48" i="26"/>
  <c r="J48" i="26"/>
  <c r="C49" i="26"/>
  <c r="D49" i="26"/>
  <c r="E49" i="26"/>
  <c r="F49" i="26"/>
  <c r="G49" i="26"/>
  <c r="H49" i="26"/>
  <c r="J49" i="26"/>
  <c r="C50" i="26"/>
  <c r="D50" i="26"/>
  <c r="E50" i="26"/>
  <c r="F50" i="26"/>
  <c r="G50" i="26"/>
  <c r="H50" i="26"/>
  <c r="I50" i="26"/>
  <c r="J50" i="26"/>
  <c r="C51" i="26"/>
  <c r="D51" i="26"/>
  <c r="E51" i="26"/>
  <c r="F51" i="26"/>
  <c r="G51" i="26"/>
  <c r="H51" i="26"/>
  <c r="I51" i="26"/>
  <c r="J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J47" i="25"/>
  <c r="C48" i="25"/>
  <c r="D48" i="25"/>
  <c r="E48" i="25"/>
  <c r="F48" i="25"/>
  <c r="G48" i="25"/>
  <c r="H48" i="25"/>
  <c r="J48" i="25"/>
  <c r="C49" i="25"/>
  <c r="D49" i="25"/>
  <c r="E49" i="25"/>
  <c r="F49" i="25"/>
  <c r="G49" i="25"/>
  <c r="H49" i="25"/>
  <c r="J49" i="25"/>
  <c r="C50" i="25"/>
  <c r="D50" i="25"/>
  <c r="E50" i="25"/>
  <c r="F50" i="25"/>
  <c r="G50" i="25"/>
  <c r="H50" i="25"/>
  <c r="I50" i="25"/>
  <c r="J50" i="25"/>
  <c r="C51" i="25"/>
  <c r="D51" i="25"/>
  <c r="E51" i="25"/>
  <c r="F51" i="25"/>
  <c r="G51" i="25"/>
  <c r="H51" i="25"/>
  <c r="I51" i="25"/>
  <c r="J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J47" i="40"/>
  <c r="C48" i="40"/>
  <c r="D48" i="40"/>
  <c r="E48" i="40"/>
  <c r="F48" i="40"/>
  <c r="G48" i="40"/>
  <c r="H48" i="40"/>
  <c r="J48" i="40"/>
  <c r="C49" i="40"/>
  <c r="D49" i="40"/>
  <c r="E49" i="40"/>
  <c r="F49" i="40"/>
  <c r="G49" i="40"/>
  <c r="H49" i="40"/>
  <c r="J49" i="40"/>
  <c r="C50" i="40"/>
  <c r="D50" i="40"/>
  <c r="E50" i="40"/>
  <c r="F50" i="40"/>
  <c r="G50" i="40"/>
  <c r="H50" i="40"/>
  <c r="J50" i="40"/>
  <c r="C51" i="40"/>
  <c r="D51" i="40"/>
  <c r="E51" i="40"/>
  <c r="F51" i="40"/>
  <c r="G51" i="40"/>
  <c r="H51" i="40"/>
  <c r="J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C37" i="10" l="1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D39" i="28" l="1"/>
  <c r="D39" i="30" s="1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J30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I62" i="34"/>
  <c r="B62" i="34"/>
  <c r="B61" i="34"/>
  <c r="B60" i="34"/>
  <c r="B59" i="34"/>
  <c r="B58" i="34"/>
  <c r="I57" i="34"/>
  <c r="B57" i="34"/>
  <c r="B56" i="34"/>
  <c r="I55" i="34"/>
  <c r="B55" i="34"/>
  <c r="B54" i="34"/>
  <c r="I53" i="34"/>
  <c r="B53" i="34"/>
  <c r="J52" i="34"/>
  <c r="I52" i="34"/>
  <c r="B52" i="34"/>
  <c r="B51" i="34"/>
  <c r="B50" i="34"/>
  <c r="I49" i="34"/>
  <c r="B49" i="34"/>
  <c r="I48" i="34"/>
  <c r="B48" i="34"/>
  <c r="I47" i="34"/>
  <c r="B47" i="34"/>
  <c r="B46" i="34"/>
  <c r="I45" i="34"/>
  <c r="B45" i="34"/>
  <c r="I44" i="34"/>
  <c r="B44" i="34"/>
  <c r="I43" i="34"/>
  <c r="D43" i="34"/>
  <c r="B43" i="34"/>
  <c r="I42" i="34"/>
  <c r="D42" i="34"/>
  <c r="B42" i="34"/>
  <c r="I41" i="34"/>
  <c r="D41" i="34"/>
  <c r="B41" i="34"/>
  <c r="D40" i="34"/>
  <c r="B40" i="34"/>
  <c r="D39" i="34"/>
  <c r="B39" i="34"/>
  <c r="I38" i="34"/>
  <c r="D38" i="34"/>
  <c r="B38" i="34"/>
  <c r="D37" i="34"/>
  <c r="B37" i="34"/>
  <c r="D36" i="34"/>
  <c r="D35" i="34"/>
  <c r="I34" i="34"/>
  <c r="D34" i="34"/>
  <c r="D33" i="34"/>
  <c r="D32" i="34"/>
  <c r="D31" i="34"/>
  <c r="D30" i="34"/>
  <c r="D29" i="34"/>
  <c r="D28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I15" i="34"/>
  <c r="B15" i="34"/>
  <c r="B14" i="34"/>
  <c r="B13" i="34"/>
  <c r="B12" i="34"/>
  <c r="B11" i="34"/>
  <c r="I10" i="34"/>
  <c r="B10" i="34"/>
  <c r="I8" i="34"/>
  <c r="B8" i="34"/>
  <c r="B7" i="34"/>
  <c r="B6" i="34"/>
  <c r="D5" i="34"/>
  <c r="B5" i="34"/>
  <c r="B4" i="34"/>
  <c r="I3" i="34"/>
  <c r="D3" i="34"/>
  <c r="B3" i="34"/>
  <c r="D5" i="33"/>
  <c r="I8" i="33"/>
  <c r="I15" i="33"/>
  <c r="D26" i="33"/>
  <c r="D27" i="33"/>
  <c r="D28" i="33"/>
  <c r="D29" i="33"/>
  <c r="D30" i="33"/>
  <c r="D31" i="33"/>
  <c r="D32" i="33"/>
  <c r="D33" i="33"/>
  <c r="D34" i="33"/>
  <c r="I34" i="33"/>
  <c r="D35" i="33"/>
  <c r="D36" i="33"/>
  <c r="D37" i="33"/>
  <c r="D38" i="33"/>
  <c r="I38" i="33"/>
  <c r="D39" i="33"/>
  <c r="D40" i="33"/>
  <c r="D41" i="33"/>
  <c r="I41" i="33"/>
  <c r="D42" i="33"/>
  <c r="I42" i="33"/>
  <c r="D43" i="33"/>
  <c r="I43" i="33"/>
  <c r="I44" i="33"/>
  <c r="I45" i="33"/>
  <c r="I47" i="33"/>
  <c r="I48" i="33"/>
  <c r="I49" i="33"/>
  <c r="I52" i="33"/>
  <c r="J52" i="33"/>
  <c r="I53" i="33"/>
  <c r="I62" i="33"/>
  <c r="I3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I8" i="32"/>
  <c r="I10" i="32"/>
  <c r="I15" i="32"/>
  <c r="D28" i="32"/>
  <c r="D29" i="32"/>
  <c r="D30" i="32"/>
  <c r="D31" i="32"/>
  <c r="D32" i="32"/>
  <c r="D33" i="32"/>
  <c r="D34" i="32"/>
  <c r="I34" i="32"/>
  <c r="D35" i="32"/>
  <c r="D36" i="32"/>
  <c r="D37" i="32"/>
  <c r="D38" i="32"/>
  <c r="I38" i="32"/>
  <c r="D39" i="32"/>
  <c r="D40" i="32"/>
  <c r="D41" i="32"/>
  <c r="I41" i="32"/>
  <c r="D42" i="32"/>
  <c r="I42" i="32"/>
  <c r="D43" i="32"/>
  <c r="I43" i="32"/>
  <c r="I44" i="32"/>
  <c r="I45" i="32"/>
  <c r="I48" i="32"/>
  <c r="I49" i="32"/>
  <c r="I52" i="32"/>
  <c r="J52" i="32"/>
  <c r="I53" i="32"/>
  <c r="I55" i="32"/>
  <c r="I62" i="32"/>
  <c r="D3" i="32"/>
  <c r="I3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D34" i="31"/>
  <c r="D5" i="31"/>
  <c r="E5" i="31"/>
  <c r="E5" i="29"/>
  <c r="I8" i="31"/>
  <c r="I10" i="31"/>
  <c r="I15" i="31"/>
  <c r="D35" i="31"/>
  <c r="D36" i="31"/>
  <c r="D37" i="31"/>
  <c r="D38" i="31"/>
  <c r="D40" i="31"/>
  <c r="D41" i="31"/>
  <c r="D42" i="31"/>
  <c r="D43" i="31"/>
  <c r="I44" i="31"/>
  <c r="J47" i="31"/>
  <c r="I52" i="31"/>
  <c r="J52" i="31"/>
  <c r="I53" i="31"/>
  <c r="I55" i="31"/>
  <c r="I62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8" i="31"/>
  <c r="B7" i="31"/>
  <c r="B6" i="31"/>
  <c r="B5" i="31"/>
  <c r="B4" i="31"/>
  <c r="B3" i="31"/>
  <c r="D34" i="29"/>
  <c r="E5" i="30"/>
  <c r="I8" i="30"/>
  <c r="I10" i="30"/>
  <c r="D26" i="30"/>
  <c r="I47" i="30"/>
  <c r="J47" i="30"/>
  <c r="I52" i="30"/>
  <c r="J52" i="30"/>
  <c r="I53" i="30"/>
  <c r="I57" i="30"/>
  <c r="I62" i="30"/>
  <c r="I8" i="29"/>
  <c r="J47" i="29"/>
  <c r="I52" i="29"/>
  <c r="J52" i="29"/>
  <c r="I53" i="29"/>
  <c r="I62" i="29"/>
  <c r="D5" i="28"/>
  <c r="D5" i="29" s="1"/>
  <c r="E6" i="28"/>
  <c r="E6" i="30" s="1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8" i="30"/>
  <c r="B7" i="30"/>
  <c r="B6" i="30"/>
  <c r="B5" i="30"/>
  <c r="B4" i="30"/>
  <c r="B3" i="30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8" i="29"/>
  <c r="B7" i="29"/>
  <c r="B6" i="29"/>
  <c r="B5" i="29"/>
  <c r="B4" i="29"/>
  <c r="B3" i="29"/>
  <c r="D23" i="28"/>
  <c r="D5" i="10"/>
  <c r="D28" i="28"/>
  <c r="D28" i="30" s="1"/>
  <c r="D29" i="28"/>
  <c r="D29" i="30" s="1"/>
  <c r="D31" i="28"/>
  <c r="D31" i="30" s="1"/>
  <c r="D32" i="28"/>
  <c r="D32" i="30" s="1"/>
  <c r="D33" i="28"/>
  <c r="D33" i="30" s="1"/>
  <c r="D34" i="28"/>
  <c r="D34" i="30" s="1"/>
  <c r="I34" i="28"/>
  <c r="I34" i="30" s="1"/>
  <c r="D36" i="28"/>
  <c r="D36" i="30" s="1"/>
  <c r="I38" i="28"/>
  <c r="I38" i="30" s="1"/>
  <c r="I41" i="28"/>
  <c r="I41" i="30" s="1"/>
  <c r="I42" i="28"/>
  <c r="I42" i="30" s="1"/>
  <c r="I43" i="28"/>
  <c r="I43" i="30" s="1"/>
  <c r="I45" i="28"/>
  <c r="I45" i="30" s="1"/>
  <c r="I48" i="28"/>
  <c r="I48" i="30" s="1"/>
  <c r="D3" i="28"/>
  <c r="D3" i="30" s="1"/>
  <c r="E3" i="28"/>
  <c r="E3" i="30" s="1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8" i="28"/>
  <c r="B7" i="28"/>
  <c r="B6" i="28"/>
  <c r="B5" i="28"/>
  <c r="B4" i="28"/>
  <c r="B3" i="28"/>
  <c r="I58" i="28"/>
  <c r="I58" i="29" s="1"/>
  <c r="I58" i="31" s="1"/>
  <c r="I58" i="32" s="1"/>
  <c r="D27" i="28"/>
  <c r="D27" i="30" s="1"/>
  <c r="D4" i="28"/>
  <c r="D4" i="29" s="1"/>
  <c r="D4" i="31" s="1"/>
  <c r="D4" i="32" s="1"/>
  <c r="D4" i="34" s="1"/>
  <c r="I6" i="28"/>
  <c r="I6" i="29" s="1"/>
  <c r="I6" i="31" s="1"/>
  <c r="I6" i="32" s="1"/>
  <c r="D30" i="28"/>
  <c r="D30" i="30" s="1"/>
  <c r="I49" i="28"/>
  <c r="I49" i="30" s="1"/>
  <c r="I55" i="28"/>
  <c r="I55" i="30" s="1"/>
  <c r="D30" i="35"/>
  <c r="D30" i="39" s="1"/>
  <c r="D25" i="10"/>
  <c r="C25" i="10"/>
  <c r="D5" i="30" l="1"/>
  <c r="E6" i="29"/>
  <c r="E6" i="31" s="1"/>
  <c r="E6" i="32" s="1"/>
  <c r="E3" i="29"/>
  <c r="E3" i="31" s="1"/>
  <c r="E3" i="32" s="1"/>
  <c r="I58" i="33"/>
  <c r="I58" i="34"/>
  <c r="I6" i="33"/>
  <c r="I6" i="34"/>
  <c r="I6" i="30"/>
  <c r="I58" i="30"/>
  <c r="D4" i="30"/>
  <c r="D35" i="28"/>
  <c r="D35" i="30" s="1"/>
  <c r="I44" i="28"/>
  <c r="I44" i="30" s="1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E4" i="28"/>
  <c r="J8" i="28"/>
  <c r="I9" i="28"/>
  <c r="J10" i="28"/>
  <c r="I12" i="35"/>
  <c r="I12" i="39" s="1"/>
  <c r="J49" i="28"/>
  <c r="D37" i="35"/>
  <c r="D37" i="39" s="1"/>
  <c r="D38" i="35"/>
  <c r="D38" i="39" s="1"/>
  <c r="J57" i="28"/>
  <c r="I3" i="28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E6" i="34" l="1"/>
  <c r="E6" i="33"/>
  <c r="C78" i="31"/>
  <c r="C78" i="29"/>
  <c r="C78" i="34"/>
  <c r="C78" i="33"/>
  <c r="C78" i="30"/>
  <c r="C78" i="32"/>
  <c r="C78" i="28"/>
  <c r="E78" i="34"/>
  <c r="E78" i="33"/>
  <c r="E78" i="30"/>
  <c r="E78" i="32"/>
  <c r="E78" i="28"/>
  <c r="E78" i="31"/>
  <c r="E78" i="29"/>
  <c r="D78" i="34"/>
  <c r="D78" i="29"/>
  <c r="D78" i="33"/>
  <c r="D78" i="30"/>
  <c r="D78" i="32"/>
  <c r="D78" i="28"/>
  <c r="D78" i="31"/>
  <c r="F78" i="33"/>
  <c r="F78" i="30"/>
  <c r="F78" i="32"/>
  <c r="F78" i="28"/>
  <c r="F78" i="31"/>
  <c r="F78" i="29"/>
  <c r="F78" i="34"/>
  <c r="E3" i="33"/>
  <c r="E3" i="34"/>
  <c r="H11" i="35"/>
  <c r="H11" i="39" s="1"/>
  <c r="D33" i="10"/>
  <c r="D40" i="28"/>
  <c r="D40" i="30" s="1"/>
  <c r="D40" i="35"/>
  <c r="D40" i="39" s="1"/>
  <c r="I59" i="28"/>
  <c r="I59" i="35"/>
  <c r="I59" i="39" s="1"/>
  <c r="D50" i="28"/>
  <c r="D50" i="35"/>
  <c r="D50" i="39" s="1"/>
  <c r="F29" i="28"/>
  <c r="F29" i="35"/>
  <c r="F29" i="39" s="1"/>
  <c r="E28" i="28"/>
  <c r="E28" i="35"/>
  <c r="E28" i="39" s="1"/>
  <c r="H24" i="28"/>
  <c r="H24" i="35"/>
  <c r="H24" i="39" s="1"/>
  <c r="H22" i="28"/>
  <c r="H22" i="35"/>
  <c r="H22" i="39" s="1"/>
  <c r="H18" i="28"/>
  <c r="H18" i="35"/>
  <c r="H18" i="39" s="1"/>
  <c r="H14" i="28"/>
  <c r="H14" i="35"/>
  <c r="H14" i="39" s="1"/>
  <c r="H12" i="28"/>
  <c r="H12" i="35"/>
  <c r="H12" i="39" s="1"/>
  <c r="H10" i="28"/>
  <c r="H10" i="35"/>
  <c r="H10" i="39" s="1"/>
  <c r="I7" i="28"/>
  <c r="I7" i="35"/>
  <c r="I7" i="39" s="1"/>
  <c r="D6" i="28"/>
  <c r="D6" i="35"/>
  <c r="D6" i="39" s="1"/>
  <c r="I4" i="28"/>
  <c r="I4" i="35"/>
  <c r="I4" i="39" s="1"/>
  <c r="F55" i="28"/>
  <c r="F55" i="35"/>
  <c r="F55" i="39" s="1"/>
  <c r="F54" i="28"/>
  <c r="F54" i="35"/>
  <c r="F54" i="39" s="1"/>
  <c r="F53" i="28"/>
  <c r="F53" i="35"/>
  <c r="F53" i="39" s="1"/>
  <c r="C52" i="28"/>
  <c r="C52" i="35"/>
  <c r="C52" i="39" s="1"/>
  <c r="C51" i="28"/>
  <c r="C51" i="35"/>
  <c r="C51" i="39" s="1"/>
  <c r="C50" i="28"/>
  <c r="C50" i="35"/>
  <c r="C50" i="39" s="1"/>
  <c r="J48" i="28"/>
  <c r="J48" i="35"/>
  <c r="J48" i="39" s="1"/>
  <c r="F47" i="28"/>
  <c r="F47" i="35"/>
  <c r="F47" i="39" s="1"/>
  <c r="F46" i="28"/>
  <c r="F46" i="35"/>
  <c r="F46" i="39" s="1"/>
  <c r="E45" i="28"/>
  <c r="E45" i="35"/>
  <c r="E45" i="39" s="1"/>
  <c r="F42" i="28"/>
  <c r="F42" i="35"/>
  <c r="F42" i="39" s="1"/>
  <c r="I40" i="28"/>
  <c r="I40" i="35"/>
  <c r="I40" i="39" s="1"/>
  <c r="F35" i="28"/>
  <c r="F35" i="35"/>
  <c r="F35" i="39" s="1"/>
  <c r="F30" i="28"/>
  <c r="F30" i="35"/>
  <c r="F30" i="39" s="1"/>
  <c r="E29" i="28"/>
  <c r="E29" i="35"/>
  <c r="E29" i="39" s="1"/>
  <c r="I25" i="28"/>
  <c r="I25" i="35"/>
  <c r="I25" i="39" s="1"/>
  <c r="G24" i="28"/>
  <c r="G24" i="35"/>
  <c r="G24" i="39" s="1"/>
  <c r="G22" i="28"/>
  <c r="G22" i="35"/>
  <c r="G22" i="39" s="1"/>
  <c r="G20" i="28"/>
  <c r="G20" i="35"/>
  <c r="G20" i="39" s="1"/>
  <c r="G18" i="28"/>
  <c r="G18" i="35"/>
  <c r="G18" i="39" s="1"/>
  <c r="G16" i="28"/>
  <c r="G16" i="35"/>
  <c r="G16" i="39" s="1"/>
  <c r="G14" i="28"/>
  <c r="G14" i="35"/>
  <c r="G14" i="39" s="1"/>
  <c r="G12" i="28"/>
  <c r="G12" i="35"/>
  <c r="G12" i="39" s="1"/>
  <c r="G10" i="28"/>
  <c r="G10" i="35"/>
  <c r="G10" i="39" s="1"/>
  <c r="H7" i="28"/>
  <c r="H7" i="35"/>
  <c r="H7" i="39" s="1"/>
  <c r="C6" i="28"/>
  <c r="C6" i="35"/>
  <c r="C6" i="39" s="1"/>
  <c r="H4" i="28"/>
  <c r="H4" i="35"/>
  <c r="H4" i="39" s="1"/>
  <c r="I69" i="28"/>
  <c r="I69" i="35"/>
  <c r="I69" i="39" s="1"/>
  <c r="I63" i="28"/>
  <c r="I63" i="35"/>
  <c r="I63" i="39" s="1"/>
  <c r="D52" i="28"/>
  <c r="D52" i="35"/>
  <c r="D52" i="39" s="1"/>
  <c r="E38" i="28"/>
  <c r="E38" i="35"/>
  <c r="E38" i="39" s="1"/>
  <c r="E34" i="28"/>
  <c r="E34" i="35"/>
  <c r="E34" i="39" s="1"/>
  <c r="G30" i="28"/>
  <c r="G30" i="35"/>
  <c r="G30" i="39" s="1"/>
  <c r="H16" i="28"/>
  <c r="H16" i="35"/>
  <c r="H16" i="39" s="1"/>
  <c r="F58" i="28"/>
  <c r="F58" i="35"/>
  <c r="F58" i="39" s="1"/>
  <c r="F57" i="28"/>
  <c r="F57" i="35"/>
  <c r="F57" i="39" s="1"/>
  <c r="F56" i="28"/>
  <c r="F56" i="35"/>
  <c r="F56" i="39" s="1"/>
  <c r="E55" i="28"/>
  <c r="E55" i="35"/>
  <c r="E55" i="39" s="1"/>
  <c r="E54" i="28"/>
  <c r="E54" i="35"/>
  <c r="E54" i="39" s="1"/>
  <c r="E53" i="28"/>
  <c r="E53" i="35"/>
  <c r="E53" i="39" s="1"/>
  <c r="J51" i="28"/>
  <c r="J51" i="35"/>
  <c r="J51" i="39" s="1"/>
  <c r="J50" i="28"/>
  <c r="J50" i="35"/>
  <c r="J50" i="39" s="1"/>
  <c r="E47" i="28"/>
  <c r="E47" i="35"/>
  <c r="E47" i="39" s="1"/>
  <c r="E46" i="28"/>
  <c r="E46" i="35"/>
  <c r="E46" i="39" s="1"/>
  <c r="D45" i="28"/>
  <c r="D45" i="35"/>
  <c r="D45" i="39" s="1"/>
  <c r="E42" i="28"/>
  <c r="E42" i="35"/>
  <c r="E42" i="39" s="1"/>
  <c r="F39" i="28"/>
  <c r="F39" i="35"/>
  <c r="F39" i="39" s="1"/>
  <c r="I37" i="28"/>
  <c r="I37" i="35"/>
  <c r="I37" i="39" s="1"/>
  <c r="E35" i="28"/>
  <c r="E35" i="35"/>
  <c r="E35" i="39" s="1"/>
  <c r="F31" i="28"/>
  <c r="F31" i="35"/>
  <c r="F31" i="39" s="1"/>
  <c r="E30" i="28"/>
  <c r="E30" i="35"/>
  <c r="E30" i="39" s="1"/>
  <c r="I26" i="28"/>
  <c r="I26" i="35"/>
  <c r="I26" i="39" s="1"/>
  <c r="H25" i="28"/>
  <c r="H25" i="35"/>
  <c r="H25" i="39" s="1"/>
  <c r="I9" i="30"/>
  <c r="I9" i="29"/>
  <c r="I9" i="31" s="1"/>
  <c r="I9" i="32" s="1"/>
  <c r="G7" i="28"/>
  <c r="G7" i="35"/>
  <c r="G7" i="39" s="1"/>
  <c r="G4" i="28"/>
  <c r="G4" i="35"/>
  <c r="G4" i="39" s="1"/>
  <c r="I61" i="28"/>
  <c r="I61" i="35"/>
  <c r="I61" i="39" s="1"/>
  <c r="D51" i="28"/>
  <c r="D51" i="35"/>
  <c r="D51" i="39" s="1"/>
  <c r="F45" i="28"/>
  <c r="F45" i="35"/>
  <c r="F45" i="39" s="1"/>
  <c r="I36" i="28"/>
  <c r="I36" i="35"/>
  <c r="I36" i="39" s="1"/>
  <c r="H20" i="28"/>
  <c r="H20" i="35"/>
  <c r="H20" i="39" s="1"/>
  <c r="F77" i="28"/>
  <c r="F77" i="35"/>
  <c r="F77" i="39" s="1"/>
  <c r="F76" i="28"/>
  <c r="F76" i="35"/>
  <c r="F76" i="39" s="1"/>
  <c r="F75" i="28"/>
  <c r="F75" i="35"/>
  <c r="F75" i="39" s="1"/>
  <c r="F74" i="28"/>
  <c r="F74" i="35"/>
  <c r="F74" i="39" s="1"/>
  <c r="F73" i="28"/>
  <c r="F73" i="35"/>
  <c r="F73" i="39" s="1"/>
  <c r="F72" i="28"/>
  <c r="F72" i="35"/>
  <c r="F72" i="39" s="1"/>
  <c r="F71" i="28"/>
  <c r="F71" i="35"/>
  <c r="F71" i="39" s="1"/>
  <c r="F70" i="28"/>
  <c r="F70" i="35"/>
  <c r="F70" i="39" s="1"/>
  <c r="F69" i="28"/>
  <c r="F69" i="35"/>
  <c r="F69" i="39" s="1"/>
  <c r="F68" i="28"/>
  <c r="F68" i="35"/>
  <c r="F68" i="39" s="1"/>
  <c r="F67" i="28"/>
  <c r="F67" i="35"/>
  <c r="F67" i="39" s="1"/>
  <c r="F66" i="28"/>
  <c r="F66" i="35"/>
  <c r="F66" i="39" s="1"/>
  <c r="F65" i="28"/>
  <c r="F65" i="35"/>
  <c r="F65" i="39" s="1"/>
  <c r="F64" i="28"/>
  <c r="F64" i="35"/>
  <c r="F64" i="39" s="1"/>
  <c r="F63" i="28"/>
  <c r="F63" i="35"/>
  <c r="F63" i="39" s="1"/>
  <c r="F62" i="28"/>
  <c r="F62" i="35"/>
  <c r="F62" i="39" s="1"/>
  <c r="F61" i="28"/>
  <c r="F61" i="35"/>
  <c r="F61" i="39" s="1"/>
  <c r="F60" i="28"/>
  <c r="F60" i="35"/>
  <c r="F60" i="39" s="1"/>
  <c r="F59" i="28"/>
  <c r="F59" i="35"/>
  <c r="F59" i="39" s="1"/>
  <c r="E58" i="28"/>
  <c r="E58" i="35"/>
  <c r="E58" i="39" s="1"/>
  <c r="E57" i="28"/>
  <c r="E57" i="35"/>
  <c r="E57" i="39" s="1"/>
  <c r="E56" i="28"/>
  <c r="E56" i="35"/>
  <c r="E56" i="39" s="1"/>
  <c r="D55" i="28"/>
  <c r="D55" i="35"/>
  <c r="D55" i="39" s="1"/>
  <c r="D54" i="28"/>
  <c r="D54" i="35"/>
  <c r="D54" i="39" s="1"/>
  <c r="D53" i="28"/>
  <c r="D53" i="35"/>
  <c r="D53" i="39" s="1"/>
  <c r="D38" i="28"/>
  <c r="D38" i="30" s="1"/>
  <c r="I51" i="35"/>
  <c r="I51" i="39" s="1"/>
  <c r="I50" i="28"/>
  <c r="I50" i="35"/>
  <c r="I50" i="39" s="1"/>
  <c r="D47" i="28"/>
  <c r="D47" i="35"/>
  <c r="D47" i="39" s="1"/>
  <c r="D46" i="28"/>
  <c r="D46" i="35"/>
  <c r="D46" i="39" s="1"/>
  <c r="C45" i="28"/>
  <c r="C45" i="35"/>
  <c r="C45" i="39" s="1"/>
  <c r="E39" i="28"/>
  <c r="E39" i="35"/>
  <c r="E39" i="39" s="1"/>
  <c r="F36" i="28"/>
  <c r="F36" i="35"/>
  <c r="F36" i="39" s="1"/>
  <c r="H32" i="28"/>
  <c r="H32" i="35"/>
  <c r="H32" i="39" s="1"/>
  <c r="E31" i="28"/>
  <c r="E31" i="35"/>
  <c r="E31" i="39" s="1"/>
  <c r="I27" i="28"/>
  <c r="I27" i="35"/>
  <c r="I27" i="39" s="1"/>
  <c r="H26" i="28"/>
  <c r="H26" i="35"/>
  <c r="H26" i="39" s="1"/>
  <c r="G25" i="28"/>
  <c r="G25" i="35"/>
  <c r="G25" i="39" s="1"/>
  <c r="I23" i="28"/>
  <c r="I23" i="35"/>
  <c r="I23" i="39" s="1"/>
  <c r="I21" i="28"/>
  <c r="I21" i="35"/>
  <c r="I21" i="39" s="1"/>
  <c r="I19" i="28"/>
  <c r="I19" i="35"/>
  <c r="I19" i="39" s="1"/>
  <c r="I17" i="28"/>
  <c r="I17" i="35"/>
  <c r="I17" i="39" s="1"/>
  <c r="I13" i="28"/>
  <c r="I13" i="35"/>
  <c r="I13" i="39" s="1"/>
  <c r="I11" i="28"/>
  <c r="I11" i="35"/>
  <c r="I11" i="39" s="1"/>
  <c r="G9" i="28"/>
  <c r="G9" i="35"/>
  <c r="G9" i="39" s="1"/>
  <c r="I5" i="28"/>
  <c r="I5" i="35"/>
  <c r="I5" i="39" s="1"/>
  <c r="F4" i="28"/>
  <c r="F4" i="35"/>
  <c r="F4" i="39" s="1"/>
  <c r="I62" i="35"/>
  <c r="I62" i="39" s="1"/>
  <c r="J47" i="35"/>
  <c r="J47" i="39" s="1"/>
  <c r="E75" i="28"/>
  <c r="E75" i="35"/>
  <c r="E75" i="39" s="1"/>
  <c r="E73" i="28"/>
  <c r="E73" i="35"/>
  <c r="E73" i="39" s="1"/>
  <c r="E71" i="28"/>
  <c r="E71" i="35"/>
  <c r="E71" i="39" s="1"/>
  <c r="E68" i="28"/>
  <c r="E68" i="35"/>
  <c r="E68" i="39" s="1"/>
  <c r="E66" i="28"/>
  <c r="E66" i="35"/>
  <c r="E66" i="39" s="1"/>
  <c r="E64" i="28"/>
  <c r="E64" i="35"/>
  <c r="E64" i="39" s="1"/>
  <c r="E62" i="28"/>
  <c r="E62" i="35"/>
  <c r="E62" i="39" s="1"/>
  <c r="E60" i="28"/>
  <c r="E60" i="35"/>
  <c r="E60" i="39" s="1"/>
  <c r="D57" i="28"/>
  <c r="D57" i="35"/>
  <c r="D57" i="39" s="1"/>
  <c r="C55" i="28"/>
  <c r="C55" i="35"/>
  <c r="C55" i="39" s="1"/>
  <c r="F48" i="28"/>
  <c r="F48" i="35"/>
  <c r="F48" i="39" s="1"/>
  <c r="C46" i="28"/>
  <c r="C46" i="35"/>
  <c r="C46" i="39" s="1"/>
  <c r="F43" i="28"/>
  <c r="F43" i="35"/>
  <c r="F43" i="39" s="1"/>
  <c r="F40" i="28"/>
  <c r="F40" i="35"/>
  <c r="F40" i="39" s="1"/>
  <c r="E36" i="28"/>
  <c r="E36" i="35"/>
  <c r="E36" i="39" s="1"/>
  <c r="G32" i="28"/>
  <c r="G32" i="35"/>
  <c r="G32" i="39" s="1"/>
  <c r="I28" i="28"/>
  <c r="I28" i="35"/>
  <c r="I28" i="39" s="1"/>
  <c r="H27" i="28"/>
  <c r="H27" i="35"/>
  <c r="H27" i="39" s="1"/>
  <c r="G26" i="28"/>
  <c r="G26" i="35"/>
  <c r="G26" i="39" s="1"/>
  <c r="F25" i="28"/>
  <c r="F25" i="35"/>
  <c r="F25" i="39" s="1"/>
  <c r="H23" i="28"/>
  <c r="H23" i="35"/>
  <c r="H23" i="39" s="1"/>
  <c r="H21" i="28"/>
  <c r="H21" i="35"/>
  <c r="H21" i="39" s="1"/>
  <c r="H19" i="28"/>
  <c r="H19" i="35"/>
  <c r="H19" i="39" s="1"/>
  <c r="H17" i="28"/>
  <c r="H17" i="35"/>
  <c r="H17" i="39" s="1"/>
  <c r="H15" i="28"/>
  <c r="H15" i="35"/>
  <c r="H15" i="39" s="1"/>
  <c r="H13" i="28"/>
  <c r="H13" i="35"/>
  <c r="H13" i="39" s="1"/>
  <c r="J8" i="30"/>
  <c r="J8" i="29"/>
  <c r="J8" i="31" s="1"/>
  <c r="J8" i="32" s="1"/>
  <c r="H6" i="28"/>
  <c r="H6" i="35"/>
  <c r="H6" i="39" s="1"/>
  <c r="H5" i="28"/>
  <c r="H5" i="35"/>
  <c r="H5" i="39" s="1"/>
  <c r="E4" i="30"/>
  <c r="E4" i="29"/>
  <c r="E4" i="31" s="1"/>
  <c r="E4" i="32" s="1"/>
  <c r="I65" i="28"/>
  <c r="I65" i="35"/>
  <c r="I65" i="39" s="1"/>
  <c r="E77" i="28"/>
  <c r="E77" i="35"/>
  <c r="E77" i="39" s="1"/>
  <c r="E76" i="28"/>
  <c r="E76" i="35"/>
  <c r="E76" i="39" s="1"/>
  <c r="E74" i="28"/>
  <c r="E74" i="35"/>
  <c r="E74" i="39" s="1"/>
  <c r="E72" i="28"/>
  <c r="E72" i="35"/>
  <c r="E72" i="39" s="1"/>
  <c r="E70" i="28"/>
  <c r="E70" i="35"/>
  <c r="E70" i="39" s="1"/>
  <c r="E69" i="28"/>
  <c r="E69" i="35"/>
  <c r="E69" i="39" s="1"/>
  <c r="E67" i="28"/>
  <c r="E67" i="35"/>
  <c r="E67" i="39" s="1"/>
  <c r="E65" i="28"/>
  <c r="E65" i="35"/>
  <c r="E65" i="39" s="1"/>
  <c r="E63" i="28"/>
  <c r="E63" i="35"/>
  <c r="E63" i="39" s="1"/>
  <c r="E61" i="28"/>
  <c r="E61" i="35"/>
  <c r="E61" i="39" s="1"/>
  <c r="E59" i="28"/>
  <c r="E59" i="35"/>
  <c r="E59" i="39" s="1"/>
  <c r="D58" i="28"/>
  <c r="D58" i="35"/>
  <c r="D58" i="39" s="1"/>
  <c r="D56" i="28"/>
  <c r="D56" i="35"/>
  <c r="D56" i="39" s="1"/>
  <c r="C54" i="28"/>
  <c r="C54" i="35"/>
  <c r="C54" i="39" s="1"/>
  <c r="C53" i="28"/>
  <c r="C53" i="35"/>
  <c r="C53" i="39" s="1"/>
  <c r="C47" i="28"/>
  <c r="C47" i="35"/>
  <c r="C47" i="39" s="1"/>
  <c r="D77" i="28"/>
  <c r="D77" i="35"/>
  <c r="D77" i="39" s="1"/>
  <c r="D76" i="28"/>
  <c r="D76" i="35"/>
  <c r="D76" i="39" s="1"/>
  <c r="D75" i="28"/>
  <c r="D75" i="35"/>
  <c r="D75" i="39" s="1"/>
  <c r="D74" i="28"/>
  <c r="D74" i="35"/>
  <c r="D74" i="39" s="1"/>
  <c r="D73" i="28"/>
  <c r="D73" i="35"/>
  <c r="D73" i="39" s="1"/>
  <c r="D72" i="28"/>
  <c r="D72" i="35"/>
  <c r="D72" i="39" s="1"/>
  <c r="D71" i="28"/>
  <c r="D71" i="35"/>
  <c r="D71" i="39" s="1"/>
  <c r="D70" i="28"/>
  <c r="D70" i="35"/>
  <c r="D70" i="39" s="1"/>
  <c r="D69" i="28"/>
  <c r="D69" i="35"/>
  <c r="D69" i="39" s="1"/>
  <c r="D68" i="28"/>
  <c r="D68" i="35"/>
  <c r="D68" i="39" s="1"/>
  <c r="D67" i="28"/>
  <c r="D67" i="35"/>
  <c r="D67" i="39" s="1"/>
  <c r="D66" i="28"/>
  <c r="D66" i="35"/>
  <c r="D66" i="39" s="1"/>
  <c r="D65" i="28"/>
  <c r="D65" i="35"/>
  <c r="D65" i="39" s="1"/>
  <c r="D64" i="28"/>
  <c r="D64" i="35"/>
  <c r="D64" i="39" s="1"/>
  <c r="D63" i="28"/>
  <c r="D63" i="35"/>
  <c r="D63" i="39" s="1"/>
  <c r="D62" i="28"/>
  <c r="D62" i="35"/>
  <c r="D62" i="39" s="1"/>
  <c r="D61" i="28"/>
  <c r="D61" i="35"/>
  <c r="D61" i="39" s="1"/>
  <c r="D60" i="28"/>
  <c r="D60" i="35"/>
  <c r="D60" i="39" s="1"/>
  <c r="D59" i="28"/>
  <c r="D59" i="35"/>
  <c r="D59" i="39" s="1"/>
  <c r="C58" i="28"/>
  <c r="C58" i="35"/>
  <c r="C58" i="39" s="1"/>
  <c r="C57" i="28"/>
  <c r="C57" i="35"/>
  <c r="C57" i="39" s="1"/>
  <c r="C56" i="28"/>
  <c r="C56" i="35"/>
  <c r="C56" i="39" s="1"/>
  <c r="J54" i="28"/>
  <c r="J54" i="35"/>
  <c r="J54" i="39" s="1"/>
  <c r="J53" i="28"/>
  <c r="J53" i="35"/>
  <c r="J53" i="39" s="1"/>
  <c r="J52" i="35"/>
  <c r="J52" i="39" s="1"/>
  <c r="F49" i="28"/>
  <c r="F49" i="35"/>
  <c r="F49" i="39" s="1"/>
  <c r="E48" i="28"/>
  <c r="E48" i="35"/>
  <c r="E48" i="39" s="1"/>
  <c r="E43" i="28"/>
  <c r="E43" i="35"/>
  <c r="E43" i="39" s="1"/>
  <c r="E40" i="28"/>
  <c r="E40" i="35"/>
  <c r="E40" i="39" s="1"/>
  <c r="F37" i="28"/>
  <c r="F37" i="35"/>
  <c r="F37" i="39" s="1"/>
  <c r="F32" i="28"/>
  <c r="F32" i="35"/>
  <c r="F32" i="39" s="1"/>
  <c r="I29" i="28"/>
  <c r="I29" i="35"/>
  <c r="I29" i="39" s="1"/>
  <c r="H28" i="28"/>
  <c r="H28" i="35"/>
  <c r="H28" i="39" s="1"/>
  <c r="G27" i="28"/>
  <c r="G27" i="35"/>
  <c r="G27" i="39" s="1"/>
  <c r="F26" i="28"/>
  <c r="F26" i="35"/>
  <c r="F26" i="39" s="1"/>
  <c r="E25" i="28"/>
  <c r="E25" i="35"/>
  <c r="E25" i="39" s="1"/>
  <c r="G23" i="28"/>
  <c r="G23" i="35"/>
  <c r="G23" i="39" s="1"/>
  <c r="G21" i="28"/>
  <c r="G21" i="35"/>
  <c r="G21" i="39" s="1"/>
  <c r="G19" i="28"/>
  <c r="G19" i="35"/>
  <c r="G19" i="39" s="1"/>
  <c r="G17" i="28"/>
  <c r="G17" i="35"/>
  <c r="G17" i="39" s="1"/>
  <c r="G15" i="28"/>
  <c r="G15" i="35"/>
  <c r="G15" i="39" s="1"/>
  <c r="G13" i="28"/>
  <c r="G13" i="35"/>
  <c r="G13" i="39" s="1"/>
  <c r="G11" i="28"/>
  <c r="G11" i="35"/>
  <c r="G11" i="39" s="1"/>
  <c r="H8" i="28"/>
  <c r="H8" i="35"/>
  <c r="H8" i="39" s="1"/>
  <c r="G6" i="28"/>
  <c r="G6" i="35"/>
  <c r="G6" i="39" s="1"/>
  <c r="G5" i="28"/>
  <c r="G5" i="35"/>
  <c r="G5" i="39" s="1"/>
  <c r="I60" i="28"/>
  <c r="I60" i="35"/>
  <c r="I60" i="39" s="1"/>
  <c r="C49" i="28"/>
  <c r="C49" i="35"/>
  <c r="C49" i="39" s="1"/>
  <c r="C75" i="28"/>
  <c r="C75" i="35"/>
  <c r="C75" i="39" s="1"/>
  <c r="C73" i="28"/>
  <c r="C73" i="35"/>
  <c r="C73" i="39" s="1"/>
  <c r="C71" i="28"/>
  <c r="C71" i="35"/>
  <c r="C71" i="39" s="1"/>
  <c r="C70" i="28"/>
  <c r="C70" i="35"/>
  <c r="C70" i="39" s="1"/>
  <c r="C68" i="28"/>
  <c r="C68" i="35"/>
  <c r="C68" i="39" s="1"/>
  <c r="C67" i="28"/>
  <c r="C67" i="35"/>
  <c r="C67" i="39" s="1"/>
  <c r="C65" i="28"/>
  <c r="C65" i="35"/>
  <c r="C65" i="39" s="1"/>
  <c r="C64" i="28"/>
  <c r="C64" i="35"/>
  <c r="C64" i="39" s="1"/>
  <c r="C63" i="28"/>
  <c r="C63" i="35"/>
  <c r="C63" i="39" s="1"/>
  <c r="C62" i="28"/>
  <c r="C62" i="35"/>
  <c r="C62" i="39" s="1"/>
  <c r="C61" i="28"/>
  <c r="C61" i="35"/>
  <c r="C61" i="39" s="1"/>
  <c r="C60" i="28"/>
  <c r="C60" i="35"/>
  <c r="C60" i="39" s="1"/>
  <c r="C59" i="28"/>
  <c r="C59" i="35"/>
  <c r="C59" i="39" s="1"/>
  <c r="J56" i="28"/>
  <c r="J56" i="35"/>
  <c r="J56" i="39" s="1"/>
  <c r="J55" i="28"/>
  <c r="J55" i="35"/>
  <c r="J55" i="39" s="1"/>
  <c r="I53" i="35"/>
  <c r="I53" i="39" s="1"/>
  <c r="F52" i="28"/>
  <c r="F52" i="35"/>
  <c r="F52" i="39" s="1"/>
  <c r="F51" i="28"/>
  <c r="F51" i="35"/>
  <c r="F51" i="39" s="1"/>
  <c r="F50" i="28"/>
  <c r="F50" i="35"/>
  <c r="F50" i="39" s="1"/>
  <c r="E49" i="28"/>
  <c r="E49" i="35"/>
  <c r="E49" i="39" s="1"/>
  <c r="D48" i="28"/>
  <c r="D48" i="35"/>
  <c r="D48" i="39" s="1"/>
  <c r="I46" i="28"/>
  <c r="I46" i="35"/>
  <c r="I46" i="39" s="1"/>
  <c r="F41" i="28"/>
  <c r="F41" i="35"/>
  <c r="F41" i="39" s="1"/>
  <c r="E37" i="28"/>
  <c r="E37" i="35"/>
  <c r="E37" i="39" s="1"/>
  <c r="I35" i="28"/>
  <c r="I35" i="35"/>
  <c r="I35" i="39" s="1"/>
  <c r="F33" i="28"/>
  <c r="F33" i="35"/>
  <c r="F33" i="39" s="1"/>
  <c r="E32" i="28"/>
  <c r="E32" i="35"/>
  <c r="E32" i="39" s="1"/>
  <c r="I30" i="28"/>
  <c r="I30" i="35"/>
  <c r="I30" i="39" s="1"/>
  <c r="H29" i="28"/>
  <c r="H29" i="35"/>
  <c r="H29" i="39" s="1"/>
  <c r="G28" i="28"/>
  <c r="G28" i="35"/>
  <c r="G28" i="39" s="1"/>
  <c r="F27" i="28"/>
  <c r="F27" i="35"/>
  <c r="F27" i="39" s="1"/>
  <c r="E26" i="28"/>
  <c r="E26" i="35"/>
  <c r="E26" i="39" s="1"/>
  <c r="J10" i="30"/>
  <c r="J10" i="29"/>
  <c r="J10" i="31" s="1"/>
  <c r="J10" i="32" s="1"/>
  <c r="G8" i="28"/>
  <c r="G8" i="35"/>
  <c r="G8" i="39" s="1"/>
  <c r="F6" i="28"/>
  <c r="F6" i="35"/>
  <c r="F6" i="39" s="1"/>
  <c r="F5" i="28"/>
  <c r="F5" i="35"/>
  <c r="F5" i="39" s="1"/>
  <c r="I64" i="28"/>
  <c r="I64" i="35"/>
  <c r="I64" i="39" s="1"/>
  <c r="E44" i="28"/>
  <c r="E44" i="35"/>
  <c r="E44" i="39" s="1"/>
  <c r="C77" i="28"/>
  <c r="C77" i="35"/>
  <c r="C77" i="39" s="1"/>
  <c r="C76" i="28"/>
  <c r="C76" i="35"/>
  <c r="C76" i="39" s="1"/>
  <c r="C74" i="28"/>
  <c r="C74" i="35"/>
  <c r="C74" i="39" s="1"/>
  <c r="C72" i="28"/>
  <c r="C72" i="35"/>
  <c r="C72" i="39" s="1"/>
  <c r="C69" i="28"/>
  <c r="C69" i="35"/>
  <c r="C69" i="39" s="1"/>
  <c r="C66" i="28"/>
  <c r="C66" i="35"/>
  <c r="C66" i="39" s="1"/>
  <c r="I54" i="28"/>
  <c r="I54" i="35"/>
  <c r="I54" i="39" s="1"/>
  <c r="J68" i="28"/>
  <c r="J68" i="35"/>
  <c r="J68" i="39" s="1"/>
  <c r="J67" i="28"/>
  <c r="J67" i="35"/>
  <c r="J67" i="39" s="1"/>
  <c r="J66" i="28"/>
  <c r="J66" i="35"/>
  <c r="J66" i="39" s="1"/>
  <c r="J65" i="28"/>
  <c r="J65" i="35"/>
  <c r="J65" i="39" s="1"/>
  <c r="J64" i="28"/>
  <c r="J64" i="35"/>
  <c r="J64" i="39" s="1"/>
  <c r="J63" i="28"/>
  <c r="J63" i="35"/>
  <c r="J63" i="39" s="1"/>
  <c r="J62" i="28"/>
  <c r="J62" i="35"/>
  <c r="J62" i="39" s="1"/>
  <c r="J61" i="28"/>
  <c r="J61" i="35"/>
  <c r="J61" i="39" s="1"/>
  <c r="J60" i="28"/>
  <c r="J60" i="35"/>
  <c r="J60" i="39" s="1"/>
  <c r="J59" i="28"/>
  <c r="J59" i="35"/>
  <c r="J59" i="39" s="1"/>
  <c r="J58" i="28"/>
  <c r="J58" i="35"/>
  <c r="J58" i="39" s="1"/>
  <c r="I56" i="28"/>
  <c r="I56" i="35"/>
  <c r="I56" i="39" s="1"/>
  <c r="E52" i="28"/>
  <c r="E52" i="35"/>
  <c r="E52" i="39" s="1"/>
  <c r="E51" i="28"/>
  <c r="E51" i="35"/>
  <c r="E51" i="39" s="1"/>
  <c r="E50" i="28"/>
  <c r="E50" i="35"/>
  <c r="E50" i="39" s="1"/>
  <c r="D49" i="28"/>
  <c r="D49" i="35"/>
  <c r="D49" i="39" s="1"/>
  <c r="C48" i="28"/>
  <c r="C48" i="35"/>
  <c r="C48" i="39" s="1"/>
  <c r="F44" i="28"/>
  <c r="F44" i="35"/>
  <c r="F44" i="39" s="1"/>
  <c r="E41" i="28"/>
  <c r="E41" i="35"/>
  <c r="E41" i="39" s="1"/>
  <c r="I39" i="28"/>
  <c r="I39" i="35"/>
  <c r="I39" i="39" s="1"/>
  <c r="F38" i="28"/>
  <c r="F38" i="35"/>
  <c r="F38" i="39" s="1"/>
  <c r="F34" i="28"/>
  <c r="F34" i="35"/>
  <c r="F34" i="39" s="1"/>
  <c r="E33" i="28"/>
  <c r="E33" i="35"/>
  <c r="E33" i="39" s="1"/>
  <c r="H30" i="28"/>
  <c r="H30" i="35"/>
  <c r="H30" i="39" s="1"/>
  <c r="G29" i="28"/>
  <c r="G29" i="35"/>
  <c r="G29" i="39" s="1"/>
  <c r="F28" i="28"/>
  <c r="F28" i="35"/>
  <c r="F28" i="39" s="1"/>
  <c r="E27" i="28"/>
  <c r="E27" i="35"/>
  <c r="E27" i="39" s="1"/>
  <c r="I24" i="28"/>
  <c r="I24" i="35"/>
  <c r="I24" i="39" s="1"/>
  <c r="I22" i="28"/>
  <c r="I22" i="35"/>
  <c r="I22" i="39" s="1"/>
  <c r="I20" i="28"/>
  <c r="I20" i="35"/>
  <c r="I20" i="39" s="1"/>
  <c r="I18" i="28"/>
  <c r="I18" i="35"/>
  <c r="I18" i="39" s="1"/>
  <c r="I16" i="28"/>
  <c r="I16" i="35"/>
  <c r="I16" i="39" s="1"/>
  <c r="I14" i="28"/>
  <c r="I14" i="35"/>
  <c r="I14" i="39" s="1"/>
  <c r="E6" i="35"/>
  <c r="E6" i="39" s="1"/>
  <c r="I3" i="30"/>
  <c r="I3" i="29"/>
  <c r="F3" i="28"/>
  <c r="F3" i="35"/>
  <c r="F3" i="39" s="1"/>
  <c r="J49" i="29"/>
  <c r="J49" i="31" s="1"/>
  <c r="J49" i="32" s="1"/>
  <c r="J49" i="30"/>
  <c r="J57" i="30"/>
  <c r="J57" i="29"/>
  <c r="J57" i="31" s="1"/>
  <c r="J57" i="32" s="1"/>
  <c r="H9" i="35"/>
  <c r="H9" i="39" s="1"/>
  <c r="I12" i="28"/>
  <c r="D29" i="35"/>
  <c r="D29" i="39" s="1"/>
  <c r="D42" i="35"/>
  <c r="D42" i="39" s="1"/>
  <c r="H11" i="28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2" i="28" l="1"/>
  <c r="D42" i="30" s="1"/>
  <c r="J15" i="28"/>
  <c r="J35" i="28"/>
  <c r="J24" i="28"/>
  <c r="J12" i="28"/>
  <c r="C5" i="35"/>
  <c r="C5" i="39" s="1"/>
  <c r="I66" i="28"/>
  <c r="G63" i="28"/>
  <c r="G59" i="28"/>
  <c r="J76" i="28"/>
  <c r="J74" i="28"/>
  <c r="J72" i="28"/>
  <c r="J70" i="28"/>
  <c r="C28" i="28"/>
  <c r="J3" i="28"/>
  <c r="J43" i="28"/>
  <c r="J31" i="28"/>
  <c r="G34" i="28"/>
  <c r="J42" i="28"/>
  <c r="J34" i="35"/>
  <c r="J34" i="39" s="1"/>
  <c r="I31" i="28"/>
  <c r="J23" i="28"/>
  <c r="J16" i="28"/>
  <c r="G55" i="28"/>
  <c r="G51" i="28"/>
  <c r="G43" i="28"/>
  <c r="G39" i="28"/>
  <c r="G35" i="28"/>
  <c r="H66" i="28"/>
  <c r="G69" i="28"/>
  <c r="I76" i="28"/>
  <c r="I74" i="28"/>
  <c r="I72" i="28"/>
  <c r="I70" i="28"/>
  <c r="C35" i="28"/>
  <c r="G3" i="28"/>
  <c r="J11" i="28"/>
  <c r="I68" i="28"/>
  <c r="G66" i="35"/>
  <c r="G66" i="39" s="1"/>
  <c r="G62" i="35"/>
  <c r="G62" i="39" s="1"/>
  <c r="J69" i="28"/>
  <c r="H76" i="28"/>
  <c r="H74" i="28"/>
  <c r="H72" i="28"/>
  <c r="H70" i="28"/>
  <c r="C31" i="28"/>
  <c r="J29" i="28"/>
  <c r="I15" i="28"/>
  <c r="I15" i="30" s="1"/>
  <c r="G58" i="28"/>
  <c r="G50" i="35"/>
  <c r="G50" i="39" s="1"/>
  <c r="G46" i="28"/>
  <c r="G42" i="28"/>
  <c r="G38" i="28"/>
  <c r="H68" i="28"/>
  <c r="H69" i="28"/>
  <c r="G76" i="28"/>
  <c r="G74" i="28"/>
  <c r="G72" i="28"/>
  <c r="G70" i="35"/>
  <c r="G70" i="39" s="1"/>
  <c r="C34" i="28"/>
  <c r="H31" i="28"/>
  <c r="H31" i="29" s="1"/>
  <c r="H31" i="31" s="1"/>
  <c r="H31" i="32" s="1"/>
  <c r="J41" i="28"/>
  <c r="I33" i="28"/>
  <c r="J28" i="28"/>
  <c r="J20" i="28"/>
  <c r="J14" i="28"/>
  <c r="J7" i="28"/>
  <c r="G68" i="28"/>
  <c r="G65" i="28"/>
  <c r="G61" i="28"/>
  <c r="J77" i="28"/>
  <c r="J75" i="35"/>
  <c r="J75" i="39" s="1"/>
  <c r="J73" i="28"/>
  <c r="J71" i="35"/>
  <c r="J71" i="39" s="1"/>
  <c r="C3" i="28"/>
  <c r="C30" i="28"/>
  <c r="G31" i="28"/>
  <c r="G31" i="29" s="1"/>
  <c r="G31" i="31" s="1"/>
  <c r="G31" i="32" s="1"/>
  <c r="J33" i="35"/>
  <c r="J33" i="39" s="1"/>
  <c r="J21" i="28"/>
  <c r="H33" i="28"/>
  <c r="J27" i="28"/>
  <c r="G57" i="28"/>
  <c r="G49" i="28"/>
  <c r="G45" i="28"/>
  <c r="G41" i="28"/>
  <c r="G37" i="28"/>
  <c r="I67" i="35"/>
  <c r="I67" i="39" s="1"/>
  <c r="I77" i="35"/>
  <c r="I77" i="39" s="1"/>
  <c r="I75" i="28"/>
  <c r="I73" i="28"/>
  <c r="I71" i="28"/>
  <c r="C4" i="35"/>
  <c r="C4" i="39" s="1"/>
  <c r="C33" i="35"/>
  <c r="C33" i="39" s="1"/>
  <c r="J30" i="28"/>
  <c r="J40" i="28"/>
  <c r="J39" i="28"/>
  <c r="J38" i="28"/>
  <c r="G33" i="28"/>
  <c r="J6" i="28"/>
  <c r="J45" i="35"/>
  <c r="J45" i="39" s="1"/>
  <c r="J32" i="28"/>
  <c r="J18" i="28"/>
  <c r="J5" i="28"/>
  <c r="H67" i="28"/>
  <c r="G64" i="28"/>
  <c r="G60" i="28"/>
  <c r="H77" i="28"/>
  <c r="H75" i="28"/>
  <c r="H73" i="28"/>
  <c r="H71" i="28"/>
  <c r="C26" i="28"/>
  <c r="C29" i="35"/>
  <c r="C29" i="39" s="1"/>
  <c r="J22" i="28"/>
  <c r="H3" i="28"/>
  <c r="J46" i="28"/>
  <c r="J19" i="28"/>
  <c r="G53" i="28"/>
  <c r="J37" i="28"/>
  <c r="J26" i="28"/>
  <c r="J13" i="28"/>
  <c r="J44" i="28"/>
  <c r="J36" i="28"/>
  <c r="I32" i="28"/>
  <c r="J25" i="28"/>
  <c r="J17" i="28"/>
  <c r="J4" i="28"/>
  <c r="G56" i="28"/>
  <c r="G48" i="28"/>
  <c r="G44" i="28"/>
  <c r="G40" i="28"/>
  <c r="G36" i="28"/>
  <c r="G67" i="28"/>
  <c r="G77" i="28"/>
  <c r="G75" i="35"/>
  <c r="G75" i="39" s="1"/>
  <c r="G73" i="28"/>
  <c r="G71" i="28"/>
  <c r="C27" i="35"/>
  <c r="C27" i="39" s="1"/>
  <c r="C32" i="28"/>
  <c r="H58" i="28"/>
  <c r="H58" i="30" s="1"/>
  <c r="H54" i="35"/>
  <c r="H54" i="39" s="1"/>
  <c r="H50" i="28"/>
  <c r="H46" i="35"/>
  <c r="H46" i="39" s="1"/>
  <c r="H42" i="28"/>
  <c r="H42" i="30" s="1"/>
  <c r="H38" i="28"/>
  <c r="H78" i="39"/>
  <c r="H78" i="35"/>
  <c r="G3" i="35"/>
  <c r="G3" i="39" s="1"/>
  <c r="J71" i="28"/>
  <c r="J71" i="30" s="1"/>
  <c r="J75" i="28"/>
  <c r="J75" i="29" s="1"/>
  <c r="J75" i="31" s="1"/>
  <c r="J75" i="32" s="1"/>
  <c r="I77" i="28"/>
  <c r="I77" i="30" s="1"/>
  <c r="C4" i="28"/>
  <c r="C4" i="30" s="1"/>
  <c r="J45" i="28"/>
  <c r="J45" i="29" s="1"/>
  <c r="J45" i="31" s="1"/>
  <c r="J45" i="32" s="1"/>
  <c r="G50" i="28"/>
  <c r="G50" i="30" s="1"/>
  <c r="C33" i="28"/>
  <c r="C33" i="29" s="1"/>
  <c r="C33" i="31" s="1"/>
  <c r="C33" i="32" s="1"/>
  <c r="J34" i="28"/>
  <c r="J34" i="30" s="1"/>
  <c r="I67" i="28"/>
  <c r="I67" i="29" s="1"/>
  <c r="I67" i="31" s="1"/>
  <c r="I67" i="32" s="1"/>
  <c r="J33" i="28"/>
  <c r="J33" i="29" s="1"/>
  <c r="J33" i="31" s="1"/>
  <c r="J33" i="32" s="1"/>
  <c r="G62" i="28"/>
  <c r="G62" i="30" s="1"/>
  <c r="G66" i="28"/>
  <c r="G66" i="30" s="1"/>
  <c r="G70" i="28"/>
  <c r="G70" i="30" s="1"/>
  <c r="G75" i="28"/>
  <c r="G75" i="30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G54" i="28"/>
  <c r="H65" i="28"/>
  <c r="H61" i="35"/>
  <c r="H61" i="39" s="1"/>
  <c r="G78" i="39"/>
  <c r="G78" i="35"/>
  <c r="B31" i="35"/>
  <c r="B31" i="29"/>
  <c r="B31" i="28"/>
  <c r="B31" i="33"/>
  <c r="B31" i="32"/>
  <c r="B31" i="30"/>
  <c r="B31" i="34"/>
  <c r="B31" i="39"/>
  <c r="B31" i="31"/>
  <c r="B35" i="32"/>
  <c r="B35" i="30"/>
  <c r="B35" i="39"/>
  <c r="B35" i="31"/>
  <c r="B35" i="29"/>
  <c r="B35" i="35"/>
  <c r="B35" i="34"/>
  <c r="B35" i="28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28"/>
  <c r="H57" i="29" s="1"/>
  <c r="H57" i="31" s="1"/>
  <c r="H57" i="32" s="1"/>
  <c r="H53" i="28"/>
  <c r="H49" i="35"/>
  <c r="H49" i="39" s="1"/>
  <c r="H49" i="28"/>
  <c r="H49" i="30" s="1"/>
  <c r="H45" i="28"/>
  <c r="H45" i="29" s="1"/>
  <c r="H45" i="31" s="1"/>
  <c r="H45" i="32" s="1"/>
  <c r="H41" i="35"/>
  <c r="H41" i="39" s="1"/>
  <c r="H37" i="28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H64" i="28"/>
  <c r="H60" i="28"/>
  <c r="B30" i="39"/>
  <c r="B30" i="31"/>
  <c r="B30" i="29"/>
  <c r="B30" i="34"/>
  <c r="B30" i="35"/>
  <c r="B30" i="28"/>
  <c r="B30" i="33"/>
  <c r="B30" i="32"/>
  <c r="B30" i="30"/>
  <c r="B34" i="33"/>
  <c r="B34" i="32"/>
  <c r="B34" i="30"/>
  <c r="B34" i="34"/>
  <c r="B34" i="39"/>
  <c r="B34" i="31"/>
  <c r="B34" i="29"/>
  <c r="B34" i="35"/>
  <c r="B34" i="28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8" i="28"/>
  <c r="H44" i="28"/>
  <c r="H40" i="28"/>
  <c r="H40" i="29" s="1"/>
  <c r="H40" i="31" s="1"/>
  <c r="H40" i="32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H63" i="28"/>
  <c r="H59" i="28"/>
  <c r="H59" i="30" s="1"/>
  <c r="B29" i="39"/>
  <c r="B29" i="34"/>
  <c r="B29" i="31"/>
  <c r="B29" i="29"/>
  <c r="B29" i="35"/>
  <c r="B29" i="28"/>
  <c r="B29" i="33"/>
  <c r="B29" i="32"/>
  <c r="B29" i="30"/>
  <c r="B33" i="34"/>
  <c r="B33" i="33"/>
  <c r="B33" i="32"/>
  <c r="B33" i="30"/>
  <c r="B33" i="28"/>
  <c r="B33" i="39"/>
  <c r="B33" i="31"/>
  <c r="B33" i="29"/>
  <c r="B33" i="35"/>
  <c r="B36" i="39"/>
  <c r="B36" i="34"/>
  <c r="B36" i="31"/>
  <c r="B36" i="29"/>
  <c r="B36" i="30"/>
  <c r="B36" i="35"/>
  <c r="B36" i="32"/>
  <c r="B36" i="28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55" i="28"/>
  <c r="H51" i="28"/>
  <c r="H43" i="35"/>
  <c r="H43" i="39" s="1"/>
  <c r="H39" i="28"/>
  <c r="H35" i="35"/>
  <c r="H35" i="39" s="1"/>
  <c r="J78" i="24"/>
  <c r="J78" i="39"/>
  <c r="J78" i="35"/>
  <c r="B26" i="33"/>
  <c r="B26" i="32"/>
  <c r="B26" i="30"/>
  <c r="B26" i="39"/>
  <c r="B26" i="31"/>
  <c r="B26" i="29"/>
  <c r="B26" i="34"/>
  <c r="B26" i="35"/>
  <c r="B26" i="28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H34" i="28"/>
  <c r="H62" i="28"/>
  <c r="I78" i="39"/>
  <c r="I78" i="35"/>
  <c r="B27" i="32"/>
  <c r="B27" i="30"/>
  <c r="B27" i="39"/>
  <c r="B27" i="31"/>
  <c r="B27" i="29"/>
  <c r="B27" i="35"/>
  <c r="B27" i="34"/>
  <c r="B27" i="28"/>
  <c r="B27" i="33"/>
  <c r="B28" i="39"/>
  <c r="B28" i="31"/>
  <c r="B28" i="29"/>
  <c r="B28" i="32"/>
  <c r="B28" i="35"/>
  <c r="B28" i="34"/>
  <c r="B28" i="28"/>
  <c r="B28" i="30"/>
  <c r="B28" i="33"/>
  <c r="B32" i="28"/>
  <c r="B32" i="33"/>
  <c r="B32" i="34"/>
  <c r="B32" i="32"/>
  <c r="B32" i="30"/>
  <c r="B32" i="39"/>
  <c r="B32" i="31"/>
  <c r="B32" i="29"/>
  <c r="B32" i="35"/>
  <c r="H65" i="35"/>
  <c r="H65" i="39" s="1"/>
  <c r="H64" i="35"/>
  <c r="H64" i="39" s="1"/>
  <c r="H63" i="35"/>
  <c r="H63" i="39" s="1"/>
  <c r="H61" i="28"/>
  <c r="H61" i="30" s="1"/>
  <c r="H59" i="35"/>
  <c r="H59" i="39" s="1"/>
  <c r="H55" i="35"/>
  <c r="H55" i="39" s="1"/>
  <c r="G54" i="35"/>
  <c r="G54" i="39" s="1"/>
  <c r="H50" i="35"/>
  <c r="H50" i="39" s="1"/>
  <c r="H48" i="35"/>
  <c r="H48" i="39" s="1"/>
  <c r="H46" i="28"/>
  <c r="H46" i="29" s="1"/>
  <c r="H46" i="31" s="1"/>
  <c r="H46" i="32" s="1"/>
  <c r="H45" i="35"/>
  <c r="H45" i="39" s="1"/>
  <c r="H44" i="35"/>
  <c r="H44" i="39" s="1"/>
  <c r="H43" i="28"/>
  <c r="H43" i="30" s="1"/>
  <c r="H41" i="28"/>
  <c r="H41" i="30" s="1"/>
  <c r="H38" i="35"/>
  <c r="H38" i="39" s="1"/>
  <c r="H34" i="35"/>
  <c r="H34" i="39" s="1"/>
  <c r="I51" i="28"/>
  <c r="I51" i="30" s="1"/>
  <c r="I50" i="30"/>
  <c r="I50" i="29"/>
  <c r="I50" i="31" s="1"/>
  <c r="I50" i="32" s="1"/>
  <c r="F27" i="30"/>
  <c r="F27" i="29"/>
  <c r="F27" i="31" s="1"/>
  <c r="F27" i="32" s="1"/>
  <c r="G5" i="30"/>
  <c r="G5" i="29"/>
  <c r="G5" i="31" s="1"/>
  <c r="G5" i="32" s="1"/>
  <c r="F37" i="30"/>
  <c r="F37" i="29"/>
  <c r="F37" i="31" s="1"/>
  <c r="F37" i="32" s="1"/>
  <c r="C53" i="30"/>
  <c r="C53" i="29"/>
  <c r="C53" i="31" s="1"/>
  <c r="C53" i="32" s="1"/>
  <c r="E74" i="30"/>
  <c r="E74" i="29"/>
  <c r="E74" i="31" s="1"/>
  <c r="E74" i="32" s="1"/>
  <c r="E73" i="30"/>
  <c r="E73" i="29"/>
  <c r="E73" i="31" s="1"/>
  <c r="E73" i="32" s="1"/>
  <c r="F63" i="29"/>
  <c r="F63" i="31" s="1"/>
  <c r="F63" i="32" s="1"/>
  <c r="F63" i="30"/>
  <c r="D51" i="30"/>
  <c r="D51" i="29"/>
  <c r="D51" i="31" s="1"/>
  <c r="D51" i="32" s="1"/>
  <c r="D45" i="30"/>
  <c r="D45" i="29"/>
  <c r="D45" i="31" s="1"/>
  <c r="D45" i="32" s="1"/>
  <c r="E34" i="30"/>
  <c r="E34" i="29"/>
  <c r="E34" i="31" s="1"/>
  <c r="E34" i="32" s="1"/>
  <c r="F30" i="29"/>
  <c r="F30" i="31" s="1"/>
  <c r="F30" i="32" s="1"/>
  <c r="F30" i="30"/>
  <c r="C51" i="29"/>
  <c r="C51" i="31" s="1"/>
  <c r="C51" i="32" s="1"/>
  <c r="C51" i="30"/>
  <c r="E27" i="30"/>
  <c r="E27" i="29"/>
  <c r="E27" i="31" s="1"/>
  <c r="E27" i="32" s="1"/>
  <c r="J61" i="30"/>
  <c r="J61" i="29"/>
  <c r="J61" i="31" s="1"/>
  <c r="J61" i="32" s="1"/>
  <c r="F5" i="30"/>
  <c r="F5" i="29"/>
  <c r="F5" i="31" s="1"/>
  <c r="F5" i="32" s="1"/>
  <c r="C49" i="30"/>
  <c r="C49" i="29"/>
  <c r="C49" i="31" s="1"/>
  <c r="C49" i="32" s="1"/>
  <c r="E48" i="29"/>
  <c r="E48" i="31" s="1"/>
  <c r="E48" i="32" s="1"/>
  <c r="E48" i="30"/>
  <c r="D73" i="29"/>
  <c r="D73" i="31" s="1"/>
  <c r="D73" i="32" s="1"/>
  <c r="D73" i="30"/>
  <c r="C46" i="30"/>
  <c r="C46" i="29"/>
  <c r="C46" i="31" s="1"/>
  <c r="C46" i="32" s="1"/>
  <c r="G25" i="30"/>
  <c r="G25" i="29"/>
  <c r="G25" i="31" s="1"/>
  <c r="G25" i="32" s="1"/>
  <c r="D55" i="29"/>
  <c r="D55" i="31" s="1"/>
  <c r="D55" i="32" s="1"/>
  <c r="D55" i="30"/>
  <c r="G7" i="30"/>
  <c r="G7" i="29"/>
  <c r="G7" i="31" s="1"/>
  <c r="G7" i="32" s="1"/>
  <c r="I69" i="30"/>
  <c r="I69" i="29"/>
  <c r="I69" i="31" s="1"/>
  <c r="I69" i="32" s="1"/>
  <c r="F35" i="30"/>
  <c r="F35" i="29"/>
  <c r="F35" i="31" s="1"/>
  <c r="F35" i="32" s="1"/>
  <c r="I9" i="33"/>
  <c r="I9" i="34"/>
  <c r="J65" i="30"/>
  <c r="J65" i="29"/>
  <c r="J65" i="31" s="1"/>
  <c r="J65" i="32" s="1"/>
  <c r="E32" i="29"/>
  <c r="E32" i="31" s="1"/>
  <c r="E32" i="32" s="1"/>
  <c r="E32" i="30"/>
  <c r="G13" i="30"/>
  <c r="G13" i="29"/>
  <c r="G13" i="31" s="1"/>
  <c r="G13" i="32" s="1"/>
  <c r="D61" i="29"/>
  <c r="D61" i="31" s="1"/>
  <c r="D61" i="32" s="1"/>
  <c r="D61" i="30"/>
  <c r="E67" i="30"/>
  <c r="E67" i="29"/>
  <c r="E67" i="31" s="1"/>
  <c r="E67" i="32" s="1"/>
  <c r="F40" i="29"/>
  <c r="F40" i="31" s="1"/>
  <c r="F40" i="32" s="1"/>
  <c r="F40" i="30"/>
  <c r="F59" i="30"/>
  <c r="F59" i="29"/>
  <c r="F59" i="31" s="1"/>
  <c r="F59" i="32" s="1"/>
  <c r="E55" i="29"/>
  <c r="E55" i="31" s="1"/>
  <c r="E55" i="32" s="1"/>
  <c r="E55" i="30"/>
  <c r="C44" i="28"/>
  <c r="C44" i="35"/>
  <c r="C44" i="39" s="1"/>
  <c r="C40" i="28"/>
  <c r="C40" i="35"/>
  <c r="C40" i="39" s="1"/>
  <c r="C25" i="28"/>
  <c r="C25" i="35"/>
  <c r="C25" i="39" s="1"/>
  <c r="D25" i="28"/>
  <c r="D25" i="30" s="1"/>
  <c r="D25" i="35"/>
  <c r="D25" i="39" s="1"/>
  <c r="D37" i="28"/>
  <c r="D37" i="30" s="1"/>
  <c r="I14" i="30"/>
  <c r="I14" i="29"/>
  <c r="I14" i="31" s="1"/>
  <c r="I14" i="32" s="1"/>
  <c r="I22" i="30"/>
  <c r="I22" i="29"/>
  <c r="I22" i="31" s="1"/>
  <c r="I22" i="32" s="1"/>
  <c r="F28" i="29"/>
  <c r="F28" i="31" s="1"/>
  <c r="F28" i="32" s="1"/>
  <c r="F28" i="30"/>
  <c r="E33" i="29"/>
  <c r="E33" i="31" s="1"/>
  <c r="E33" i="32" s="1"/>
  <c r="E33" i="30"/>
  <c r="F38" i="30"/>
  <c r="F38" i="29"/>
  <c r="F38" i="31" s="1"/>
  <c r="F38" i="32" s="1"/>
  <c r="F44" i="29"/>
  <c r="F44" i="31" s="1"/>
  <c r="F44" i="32" s="1"/>
  <c r="F44" i="30"/>
  <c r="D49" i="30"/>
  <c r="D49" i="29"/>
  <c r="D49" i="31" s="1"/>
  <c r="D49" i="32" s="1"/>
  <c r="J58" i="30"/>
  <c r="J58" i="29"/>
  <c r="J58" i="31" s="1"/>
  <c r="J58" i="32" s="1"/>
  <c r="J62" i="30"/>
  <c r="J62" i="29"/>
  <c r="J62" i="31" s="1"/>
  <c r="J62" i="32" s="1"/>
  <c r="J66" i="30"/>
  <c r="J66" i="29"/>
  <c r="J66" i="31" s="1"/>
  <c r="J66" i="32" s="1"/>
  <c r="C72" i="30"/>
  <c r="C72" i="29"/>
  <c r="C72" i="31" s="1"/>
  <c r="C72" i="32" s="1"/>
  <c r="E44" i="29"/>
  <c r="E44" i="31" s="1"/>
  <c r="E44" i="32" s="1"/>
  <c r="E44" i="30"/>
  <c r="F6" i="30"/>
  <c r="F6" i="29"/>
  <c r="F6" i="31" s="1"/>
  <c r="F6" i="32" s="1"/>
  <c r="G28" i="30"/>
  <c r="G28" i="29"/>
  <c r="G28" i="31" s="1"/>
  <c r="G28" i="32" s="1"/>
  <c r="F33" i="30"/>
  <c r="F33" i="29"/>
  <c r="F33" i="31" s="1"/>
  <c r="F33" i="32" s="1"/>
  <c r="F50" i="30"/>
  <c r="F50" i="29"/>
  <c r="F50" i="31" s="1"/>
  <c r="F50" i="32" s="1"/>
  <c r="J55" i="30"/>
  <c r="J55" i="29"/>
  <c r="J55" i="31" s="1"/>
  <c r="J55" i="32" s="1"/>
  <c r="C61" i="30"/>
  <c r="C61" i="29"/>
  <c r="C61" i="31" s="1"/>
  <c r="C61" i="32" s="1"/>
  <c r="C65" i="30"/>
  <c r="C65" i="29"/>
  <c r="C65" i="31" s="1"/>
  <c r="C65" i="32" s="1"/>
  <c r="C71" i="30"/>
  <c r="C71" i="29"/>
  <c r="C71" i="31" s="1"/>
  <c r="C71" i="32" s="1"/>
  <c r="I60" i="30"/>
  <c r="I60" i="29"/>
  <c r="I60" i="31" s="1"/>
  <c r="I60" i="32" s="1"/>
  <c r="G6" i="30"/>
  <c r="G6" i="29"/>
  <c r="G6" i="31" s="1"/>
  <c r="G6" i="32" s="1"/>
  <c r="G15" i="30"/>
  <c r="G15" i="29"/>
  <c r="G15" i="31" s="1"/>
  <c r="G15" i="32" s="1"/>
  <c r="G23" i="30"/>
  <c r="G23" i="29"/>
  <c r="G23" i="31" s="1"/>
  <c r="G23" i="32" s="1"/>
  <c r="H28" i="29"/>
  <c r="H28" i="31" s="1"/>
  <c r="H28" i="32" s="1"/>
  <c r="H28" i="30"/>
  <c r="F49" i="30"/>
  <c r="F49" i="29"/>
  <c r="F49" i="31" s="1"/>
  <c r="F49" i="32" s="1"/>
  <c r="J53" i="29"/>
  <c r="J53" i="31" s="1"/>
  <c r="J53" i="32" s="1"/>
  <c r="J53" i="30"/>
  <c r="C58" i="30"/>
  <c r="C58" i="29"/>
  <c r="C58" i="31" s="1"/>
  <c r="C58" i="32" s="1"/>
  <c r="D62" i="29"/>
  <c r="D62" i="31" s="1"/>
  <c r="D62" i="32" s="1"/>
  <c r="D62" i="30"/>
  <c r="D66" i="29"/>
  <c r="D66" i="31" s="1"/>
  <c r="D66" i="32" s="1"/>
  <c r="D66" i="30"/>
  <c r="D70" i="29"/>
  <c r="D70" i="31" s="1"/>
  <c r="D70" i="32" s="1"/>
  <c r="D70" i="30"/>
  <c r="D74" i="29"/>
  <c r="D74" i="31" s="1"/>
  <c r="D74" i="32" s="1"/>
  <c r="D74" i="30"/>
  <c r="C54" i="29"/>
  <c r="C54" i="31" s="1"/>
  <c r="C54" i="32" s="1"/>
  <c r="C54" i="30"/>
  <c r="E61" i="30"/>
  <c r="E61" i="29"/>
  <c r="E61" i="31" s="1"/>
  <c r="E61" i="32" s="1"/>
  <c r="E69" i="30"/>
  <c r="E69" i="29"/>
  <c r="E69" i="31" s="1"/>
  <c r="E69" i="32" s="1"/>
  <c r="E76" i="30"/>
  <c r="E76" i="29"/>
  <c r="E76" i="31" s="1"/>
  <c r="E76" i="32" s="1"/>
  <c r="I65" i="30"/>
  <c r="I65" i="29"/>
  <c r="I65" i="31" s="1"/>
  <c r="I65" i="32" s="1"/>
  <c r="H6" i="30"/>
  <c r="H6" i="29"/>
  <c r="H6" i="31" s="1"/>
  <c r="H6" i="32" s="1"/>
  <c r="H17" i="30"/>
  <c r="H17" i="29"/>
  <c r="H17" i="31" s="1"/>
  <c r="H17" i="32" s="1"/>
  <c r="F25" i="30"/>
  <c r="F25" i="29"/>
  <c r="F25" i="31" s="1"/>
  <c r="F25" i="32" s="1"/>
  <c r="E36" i="29"/>
  <c r="E36" i="31" s="1"/>
  <c r="E36" i="32" s="1"/>
  <c r="E36" i="30"/>
  <c r="F48" i="30"/>
  <c r="F48" i="29"/>
  <c r="F48" i="31" s="1"/>
  <c r="F48" i="32" s="1"/>
  <c r="D57" i="30"/>
  <c r="D57" i="29"/>
  <c r="D57" i="31" s="1"/>
  <c r="D57" i="32" s="1"/>
  <c r="E66" i="30"/>
  <c r="E66" i="29"/>
  <c r="E66" i="31" s="1"/>
  <c r="E66" i="32" s="1"/>
  <c r="E75" i="30"/>
  <c r="E75" i="29"/>
  <c r="E75" i="31" s="1"/>
  <c r="E75" i="32" s="1"/>
  <c r="F4" i="30"/>
  <c r="F4" i="29"/>
  <c r="F4" i="31" s="1"/>
  <c r="F4" i="32" s="1"/>
  <c r="I11" i="30"/>
  <c r="I11" i="29"/>
  <c r="I11" i="31" s="1"/>
  <c r="I11" i="32" s="1"/>
  <c r="I19" i="30"/>
  <c r="I19" i="29"/>
  <c r="I19" i="31" s="1"/>
  <c r="I19" i="32" s="1"/>
  <c r="H26" i="29"/>
  <c r="H26" i="31" s="1"/>
  <c r="H26" i="32" s="1"/>
  <c r="H26" i="30"/>
  <c r="E31" i="30"/>
  <c r="E31" i="29"/>
  <c r="E31" i="31" s="1"/>
  <c r="E31" i="32" s="1"/>
  <c r="F36" i="30"/>
  <c r="F36" i="29"/>
  <c r="F36" i="31" s="1"/>
  <c r="F36" i="32" s="1"/>
  <c r="D47" i="30"/>
  <c r="D47" i="29"/>
  <c r="D47" i="31" s="1"/>
  <c r="D47" i="32" s="1"/>
  <c r="E56" i="29"/>
  <c r="E56" i="31" s="1"/>
  <c r="E56" i="32" s="1"/>
  <c r="E56" i="30"/>
  <c r="F60" i="29"/>
  <c r="F60" i="31" s="1"/>
  <c r="F60" i="32" s="1"/>
  <c r="F60" i="30"/>
  <c r="F64" i="29"/>
  <c r="F64" i="31" s="1"/>
  <c r="F64" i="32" s="1"/>
  <c r="F64" i="30"/>
  <c r="F68" i="29"/>
  <c r="F68" i="31" s="1"/>
  <c r="F68" i="32" s="1"/>
  <c r="F68" i="30"/>
  <c r="F72" i="29"/>
  <c r="F72" i="31" s="1"/>
  <c r="F72" i="32" s="1"/>
  <c r="F72" i="30"/>
  <c r="F76" i="29"/>
  <c r="F76" i="31" s="1"/>
  <c r="F76" i="32" s="1"/>
  <c r="F76" i="30"/>
  <c r="I36" i="30"/>
  <c r="I36" i="29"/>
  <c r="I36" i="31" s="1"/>
  <c r="I36" i="32" s="1"/>
  <c r="H25" i="30"/>
  <c r="H25" i="29"/>
  <c r="H25" i="31" s="1"/>
  <c r="H25" i="32" s="1"/>
  <c r="E30" i="30"/>
  <c r="E30" i="29"/>
  <c r="E30" i="31" s="1"/>
  <c r="E30" i="32" s="1"/>
  <c r="E35" i="29"/>
  <c r="E35" i="31" s="1"/>
  <c r="E35" i="32" s="1"/>
  <c r="E35" i="30"/>
  <c r="E46" i="30"/>
  <c r="E46" i="29"/>
  <c r="E46" i="31" s="1"/>
  <c r="E46" i="32" s="1"/>
  <c r="J51" i="29"/>
  <c r="J51" i="31" s="1"/>
  <c r="J51" i="32" s="1"/>
  <c r="J51" i="30"/>
  <c r="F56" i="30"/>
  <c r="F56" i="29"/>
  <c r="F56" i="31" s="1"/>
  <c r="F56" i="32" s="1"/>
  <c r="E38" i="30"/>
  <c r="E38" i="29"/>
  <c r="E38" i="31" s="1"/>
  <c r="E38" i="32" s="1"/>
  <c r="H4" i="30"/>
  <c r="H4" i="29"/>
  <c r="H4" i="31" s="1"/>
  <c r="H4" i="32" s="1"/>
  <c r="G12" i="30"/>
  <c r="G12" i="29"/>
  <c r="G12" i="31" s="1"/>
  <c r="G12" i="32" s="1"/>
  <c r="G20" i="30"/>
  <c r="G20" i="29"/>
  <c r="G20" i="31" s="1"/>
  <c r="G20" i="32" s="1"/>
  <c r="F42" i="30"/>
  <c r="F42" i="29"/>
  <c r="F42" i="31" s="1"/>
  <c r="F42" i="32" s="1"/>
  <c r="F47" i="30"/>
  <c r="F47" i="29"/>
  <c r="F47" i="31" s="1"/>
  <c r="F47" i="32" s="1"/>
  <c r="C52" i="29"/>
  <c r="C52" i="31" s="1"/>
  <c r="C52" i="32" s="1"/>
  <c r="C52" i="30"/>
  <c r="I7" i="30"/>
  <c r="I7" i="29"/>
  <c r="I7" i="31" s="1"/>
  <c r="I7" i="32" s="1"/>
  <c r="H18" i="30"/>
  <c r="H18" i="29"/>
  <c r="H18" i="31" s="1"/>
  <c r="H18" i="32" s="1"/>
  <c r="I59" i="30"/>
  <c r="I59" i="29"/>
  <c r="I59" i="31" s="1"/>
  <c r="I59" i="32" s="1"/>
  <c r="I20" i="30"/>
  <c r="I20" i="29"/>
  <c r="I20" i="31" s="1"/>
  <c r="I20" i="32" s="1"/>
  <c r="E52" i="29"/>
  <c r="E52" i="31" s="1"/>
  <c r="E52" i="32" s="1"/>
  <c r="E52" i="30"/>
  <c r="C64" i="30"/>
  <c r="C64" i="29"/>
  <c r="C64" i="31" s="1"/>
  <c r="C64" i="32" s="1"/>
  <c r="G21" i="30"/>
  <c r="G21" i="29"/>
  <c r="G21" i="31" s="1"/>
  <c r="G21" i="32" s="1"/>
  <c r="C57" i="30"/>
  <c r="C57" i="29"/>
  <c r="C57" i="31" s="1"/>
  <c r="C57" i="32" s="1"/>
  <c r="E59" i="30"/>
  <c r="E59" i="29"/>
  <c r="E59" i="31" s="1"/>
  <c r="E59" i="32" s="1"/>
  <c r="I28" i="30"/>
  <c r="I28" i="29"/>
  <c r="I28" i="31" s="1"/>
  <c r="I28" i="32" s="1"/>
  <c r="E64" i="30"/>
  <c r="E64" i="29"/>
  <c r="E64" i="31" s="1"/>
  <c r="E64" i="32" s="1"/>
  <c r="F67" i="29"/>
  <c r="F67" i="31" s="1"/>
  <c r="F67" i="32" s="1"/>
  <c r="F67" i="30"/>
  <c r="D52" i="30"/>
  <c r="D52" i="29"/>
  <c r="D52" i="31" s="1"/>
  <c r="D52" i="32" s="1"/>
  <c r="J8" i="34"/>
  <c r="J8" i="33"/>
  <c r="D43" i="28"/>
  <c r="D43" i="30" s="1"/>
  <c r="D43" i="35"/>
  <c r="D43" i="39" s="1"/>
  <c r="I56" i="30"/>
  <c r="I56" i="29"/>
  <c r="I56" i="31" s="1"/>
  <c r="I56" i="32" s="1"/>
  <c r="C77" i="30"/>
  <c r="C77" i="29"/>
  <c r="C77" i="31" s="1"/>
  <c r="C77" i="32" s="1"/>
  <c r="E37" i="30"/>
  <c r="E37" i="29"/>
  <c r="E37" i="31" s="1"/>
  <c r="E37" i="32" s="1"/>
  <c r="C70" i="30"/>
  <c r="C70" i="29"/>
  <c r="C70" i="31" s="1"/>
  <c r="C70" i="32" s="1"/>
  <c r="E43" i="29"/>
  <c r="E43" i="31" s="1"/>
  <c r="E43" i="32" s="1"/>
  <c r="E43" i="30"/>
  <c r="D69" i="29"/>
  <c r="D69" i="31" s="1"/>
  <c r="D69" i="32" s="1"/>
  <c r="D69" i="30"/>
  <c r="H5" i="30"/>
  <c r="H5" i="29"/>
  <c r="H5" i="31" s="1"/>
  <c r="H5" i="32" s="1"/>
  <c r="C55" i="29"/>
  <c r="C55" i="31" s="1"/>
  <c r="C55" i="32" s="1"/>
  <c r="C55" i="30"/>
  <c r="I17" i="30"/>
  <c r="I17" i="29"/>
  <c r="I17" i="31" s="1"/>
  <c r="I17" i="32" s="1"/>
  <c r="F71" i="30"/>
  <c r="F71" i="29"/>
  <c r="F71" i="31" s="1"/>
  <c r="F71" i="32" s="1"/>
  <c r="J50" i="29"/>
  <c r="J50" i="31" s="1"/>
  <c r="J50" i="32" s="1"/>
  <c r="J50" i="30"/>
  <c r="I25" i="30"/>
  <c r="I25" i="29"/>
  <c r="I25" i="31" s="1"/>
  <c r="I25" i="32" s="1"/>
  <c r="I40" i="30"/>
  <c r="I40" i="29"/>
  <c r="I40" i="31" s="1"/>
  <c r="I40" i="32" s="1"/>
  <c r="F55" i="30"/>
  <c r="F55" i="29"/>
  <c r="F55" i="31" s="1"/>
  <c r="F55" i="32" s="1"/>
  <c r="H11" i="30"/>
  <c r="H11" i="29"/>
  <c r="H11" i="31" s="1"/>
  <c r="H11" i="32" s="1"/>
  <c r="C39" i="28"/>
  <c r="C39" i="35"/>
  <c r="C39" i="39" s="1"/>
  <c r="D41" i="28"/>
  <c r="D41" i="30" s="1"/>
  <c r="D41" i="35"/>
  <c r="D41" i="39" s="1"/>
  <c r="I16" i="30"/>
  <c r="I16" i="29"/>
  <c r="I16" i="31" s="1"/>
  <c r="I16" i="32" s="1"/>
  <c r="I24" i="30"/>
  <c r="I24" i="29"/>
  <c r="I24" i="31" s="1"/>
  <c r="I24" i="32" s="1"/>
  <c r="G29" i="30"/>
  <c r="G29" i="29"/>
  <c r="G29" i="31" s="1"/>
  <c r="G29" i="32" s="1"/>
  <c r="F34" i="29"/>
  <c r="F34" i="31" s="1"/>
  <c r="F34" i="32" s="1"/>
  <c r="F34" i="30"/>
  <c r="I39" i="30"/>
  <c r="I39" i="29"/>
  <c r="I39" i="31" s="1"/>
  <c r="I39" i="32" s="1"/>
  <c r="E50" i="30"/>
  <c r="E50" i="29"/>
  <c r="E50" i="31" s="1"/>
  <c r="E50" i="32" s="1"/>
  <c r="J59" i="29"/>
  <c r="J59" i="31" s="1"/>
  <c r="J59" i="32" s="1"/>
  <c r="J59" i="30"/>
  <c r="J63" i="30"/>
  <c r="J63" i="29"/>
  <c r="J63" i="31" s="1"/>
  <c r="J63" i="32" s="1"/>
  <c r="J67" i="29"/>
  <c r="J67" i="31" s="1"/>
  <c r="J67" i="32" s="1"/>
  <c r="J67" i="30"/>
  <c r="I54" i="30"/>
  <c r="I54" i="29"/>
  <c r="I54" i="31" s="1"/>
  <c r="I54" i="32" s="1"/>
  <c r="C74" i="30"/>
  <c r="C74" i="29"/>
  <c r="C74" i="31" s="1"/>
  <c r="C74" i="32" s="1"/>
  <c r="I64" i="30"/>
  <c r="I64" i="29"/>
  <c r="I64" i="31" s="1"/>
  <c r="I64" i="32" s="1"/>
  <c r="G8" i="30"/>
  <c r="G8" i="29"/>
  <c r="G8" i="31" s="1"/>
  <c r="G8" i="32" s="1"/>
  <c r="H29" i="29"/>
  <c r="H29" i="31" s="1"/>
  <c r="H29" i="32" s="1"/>
  <c r="H29" i="30"/>
  <c r="I46" i="29"/>
  <c r="I46" i="31" s="1"/>
  <c r="I46" i="32" s="1"/>
  <c r="I46" i="30"/>
  <c r="F51" i="29"/>
  <c r="F51" i="31" s="1"/>
  <c r="F51" i="32" s="1"/>
  <c r="F51" i="30"/>
  <c r="J56" i="30"/>
  <c r="J56" i="29"/>
  <c r="J56" i="31" s="1"/>
  <c r="J56" i="32" s="1"/>
  <c r="C62" i="30"/>
  <c r="C62" i="29"/>
  <c r="C62" i="31" s="1"/>
  <c r="C62" i="32" s="1"/>
  <c r="C67" i="30"/>
  <c r="C67" i="29"/>
  <c r="C67" i="31" s="1"/>
  <c r="C67" i="32" s="1"/>
  <c r="C73" i="30"/>
  <c r="C73" i="29"/>
  <c r="C73" i="31" s="1"/>
  <c r="C73" i="32" s="1"/>
  <c r="H8" i="30"/>
  <c r="H8" i="29"/>
  <c r="H8" i="31" s="1"/>
  <c r="H8" i="32" s="1"/>
  <c r="G17" i="30"/>
  <c r="G17" i="29"/>
  <c r="G17" i="31" s="1"/>
  <c r="G17" i="32" s="1"/>
  <c r="E25" i="30"/>
  <c r="E25" i="29"/>
  <c r="E25" i="31" s="1"/>
  <c r="E25" i="32" s="1"/>
  <c r="I29" i="30"/>
  <c r="I29" i="29"/>
  <c r="I29" i="31" s="1"/>
  <c r="I29" i="32" s="1"/>
  <c r="E40" i="30"/>
  <c r="E40" i="29"/>
  <c r="E40" i="31" s="1"/>
  <c r="E40" i="32" s="1"/>
  <c r="J54" i="29"/>
  <c r="J54" i="31" s="1"/>
  <c r="J54" i="32" s="1"/>
  <c r="J54" i="30"/>
  <c r="D59" i="29"/>
  <c r="D59" i="31" s="1"/>
  <c r="D59" i="32" s="1"/>
  <c r="D59" i="30"/>
  <c r="D63" i="29"/>
  <c r="D63" i="31" s="1"/>
  <c r="D63" i="32" s="1"/>
  <c r="D63" i="30"/>
  <c r="D67" i="29"/>
  <c r="D67" i="31" s="1"/>
  <c r="D67" i="32" s="1"/>
  <c r="D67" i="30"/>
  <c r="D71" i="29"/>
  <c r="D71" i="31" s="1"/>
  <c r="D71" i="32" s="1"/>
  <c r="D71" i="30"/>
  <c r="D75" i="29"/>
  <c r="D75" i="31" s="1"/>
  <c r="D75" i="32" s="1"/>
  <c r="D75" i="30"/>
  <c r="C47" i="30"/>
  <c r="C47" i="29"/>
  <c r="C47" i="31" s="1"/>
  <c r="C47" i="32" s="1"/>
  <c r="D56" i="29"/>
  <c r="D56" i="31" s="1"/>
  <c r="D56" i="32" s="1"/>
  <c r="D56" i="30"/>
  <c r="E63" i="30"/>
  <c r="E63" i="29"/>
  <c r="E63" i="31" s="1"/>
  <c r="E63" i="32" s="1"/>
  <c r="E70" i="30"/>
  <c r="E70" i="29"/>
  <c r="E70" i="31" s="1"/>
  <c r="E70" i="32" s="1"/>
  <c r="E77" i="30"/>
  <c r="E77" i="29"/>
  <c r="E77" i="31" s="1"/>
  <c r="E77" i="32" s="1"/>
  <c r="H19" i="30"/>
  <c r="H19" i="29"/>
  <c r="H19" i="31" s="1"/>
  <c r="H19" i="32" s="1"/>
  <c r="G26" i="30"/>
  <c r="G26" i="29"/>
  <c r="G26" i="31" s="1"/>
  <c r="G26" i="32" s="1"/>
  <c r="G32" i="30"/>
  <c r="G32" i="29"/>
  <c r="G32" i="31" s="1"/>
  <c r="G32" i="32" s="1"/>
  <c r="F43" i="30"/>
  <c r="F43" i="29"/>
  <c r="F43" i="31" s="1"/>
  <c r="F43" i="32" s="1"/>
  <c r="E60" i="30"/>
  <c r="E60" i="29"/>
  <c r="E60" i="31" s="1"/>
  <c r="E60" i="32" s="1"/>
  <c r="E68" i="30"/>
  <c r="E68" i="29"/>
  <c r="E68" i="31" s="1"/>
  <c r="E68" i="32" s="1"/>
  <c r="I5" i="30"/>
  <c r="I5" i="29"/>
  <c r="I5" i="31" s="1"/>
  <c r="I5" i="32" s="1"/>
  <c r="I13" i="30"/>
  <c r="I13" i="29"/>
  <c r="I13" i="31" s="1"/>
  <c r="I13" i="32" s="1"/>
  <c r="I21" i="30"/>
  <c r="I21" i="29"/>
  <c r="I21" i="31" s="1"/>
  <c r="I21" i="32" s="1"/>
  <c r="I27" i="30"/>
  <c r="I27" i="29"/>
  <c r="I27" i="31" s="1"/>
  <c r="I27" i="32" s="1"/>
  <c r="H32" i="30"/>
  <c r="H32" i="29"/>
  <c r="H32" i="31" s="1"/>
  <c r="H32" i="32" s="1"/>
  <c r="D53" i="30"/>
  <c r="D53" i="29"/>
  <c r="D53" i="31" s="1"/>
  <c r="D53" i="32" s="1"/>
  <c r="E57" i="29"/>
  <c r="E57" i="31" s="1"/>
  <c r="E57" i="32" s="1"/>
  <c r="E57" i="30"/>
  <c r="F61" i="29"/>
  <c r="F61" i="31" s="1"/>
  <c r="F61" i="32" s="1"/>
  <c r="F61" i="30"/>
  <c r="F65" i="30"/>
  <c r="F65" i="29"/>
  <c r="F65" i="31" s="1"/>
  <c r="F65" i="32" s="1"/>
  <c r="F69" i="30"/>
  <c r="F69" i="29"/>
  <c r="F69" i="31" s="1"/>
  <c r="F69" i="32" s="1"/>
  <c r="F73" i="29"/>
  <c r="F73" i="31" s="1"/>
  <c r="F73" i="32" s="1"/>
  <c r="F73" i="30"/>
  <c r="F77" i="29"/>
  <c r="F77" i="31" s="1"/>
  <c r="F77" i="32" s="1"/>
  <c r="F77" i="30"/>
  <c r="G4" i="30"/>
  <c r="G4" i="29"/>
  <c r="G4" i="31" s="1"/>
  <c r="G4" i="32" s="1"/>
  <c r="I26" i="30"/>
  <c r="I26" i="29"/>
  <c r="I26" i="31" s="1"/>
  <c r="I26" i="32" s="1"/>
  <c r="F31" i="30"/>
  <c r="F31" i="29"/>
  <c r="F31" i="31" s="1"/>
  <c r="F31" i="32" s="1"/>
  <c r="E42" i="30"/>
  <c r="E42" i="29"/>
  <c r="E42" i="31" s="1"/>
  <c r="E42" i="32" s="1"/>
  <c r="E47" i="29"/>
  <c r="E47" i="31" s="1"/>
  <c r="E47" i="32" s="1"/>
  <c r="E47" i="30"/>
  <c r="E53" i="30"/>
  <c r="E53" i="29"/>
  <c r="E53" i="31" s="1"/>
  <c r="E53" i="32" s="1"/>
  <c r="F57" i="30"/>
  <c r="F57" i="29"/>
  <c r="F57" i="31" s="1"/>
  <c r="F57" i="32" s="1"/>
  <c r="H16" i="30"/>
  <c r="H16" i="29"/>
  <c r="H16" i="31" s="1"/>
  <c r="H16" i="32" s="1"/>
  <c r="C6" i="30"/>
  <c r="C6" i="29"/>
  <c r="C6" i="31" s="1"/>
  <c r="C6" i="32" s="1"/>
  <c r="G14" i="30"/>
  <c r="G14" i="29"/>
  <c r="G14" i="31" s="1"/>
  <c r="G14" i="32" s="1"/>
  <c r="G22" i="30"/>
  <c r="G22" i="29"/>
  <c r="G22" i="31" s="1"/>
  <c r="G22" i="32" s="1"/>
  <c r="J48" i="30"/>
  <c r="J48" i="29"/>
  <c r="J48" i="31" s="1"/>
  <c r="J48" i="32" s="1"/>
  <c r="F53" i="30"/>
  <c r="F53" i="29"/>
  <c r="F53" i="31" s="1"/>
  <c r="F53" i="32" s="1"/>
  <c r="H10" i="30"/>
  <c r="H10" i="29"/>
  <c r="H10" i="31" s="1"/>
  <c r="H10" i="32" s="1"/>
  <c r="H22" i="30"/>
  <c r="H22" i="29"/>
  <c r="H22" i="31" s="1"/>
  <c r="H22" i="32" s="1"/>
  <c r="E28" i="30"/>
  <c r="E28" i="29"/>
  <c r="E28" i="31" s="1"/>
  <c r="E28" i="32" s="1"/>
  <c r="C41" i="28"/>
  <c r="C41" i="35"/>
  <c r="C41" i="39" s="1"/>
  <c r="C60" i="30"/>
  <c r="C60" i="29"/>
  <c r="C60" i="31" s="1"/>
  <c r="C60" i="32" s="1"/>
  <c r="F32" i="30"/>
  <c r="F32" i="29"/>
  <c r="F32" i="31" s="1"/>
  <c r="F32" i="32" s="1"/>
  <c r="D77" i="29"/>
  <c r="D77" i="31" s="1"/>
  <c r="D77" i="32" s="1"/>
  <c r="D77" i="30"/>
  <c r="H15" i="30"/>
  <c r="H15" i="29"/>
  <c r="H15" i="31" s="1"/>
  <c r="H15" i="32" s="1"/>
  <c r="D46" i="30"/>
  <c r="D46" i="29"/>
  <c r="D46" i="31" s="1"/>
  <c r="D46" i="32" s="1"/>
  <c r="F75" i="29"/>
  <c r="F75" i="31" s="1"/>
  <c r="F75" i="32" s="1"/>
  <c r="F75" i="30"/>
  <c r="F39" i="30"/>
  <c r="F39" i="29"/>
  <c r="F39" i="31" s="1"/>
  <c r="F39" i="32" s="1"/>
  <c r="G10" i="30"/>
  <c r="G10" i="29"/>
  <c r="G10" i="31" s="1"/>
  <c r="G10" i="32" s="1"/>
  <c r="D6" i="30"/>
  <c r="D6" i="29"/>
  <c r="D6" i="31" s="1"/>
  <c r="D6" i="32" s="1"/>
  <c r="C43" i="28"/>
  <c r="C43" i="35"/>
  <c r="C43" i="39" s="1"/>
  <c r="J10" i="34"/>
  <c r="J10" i="33"/>
  <c r="E4" i="34"/>
  <c r="E4" i="33"/>
  <c r="C37" i="28"/>
  <c r="C37" i="35"/>
  <c r="C37" i="39" s="1"/>
  <c r="C48" i="30"/>
  <c r="C48" i="29"/>
  <c r="C48" i="31" s="1"/>
  <c r="C48" i="32" s="1"/>
  <c r="C69" i="30"/>
  <c r="C69" i="29"/>
  <c r="C69" i="31" s="1"/>
  <c r="C69" i="32" s="1"/>
  <c r="E49" i="30"/>
  <c r="E49" i="29"/>
  <c r="E49" i="31" s="1"/>
  <c r="E49" i="32" s="1"/>
  <c r="G27" i="30"/>
  <c r="G27" i="29"/>
  <c r="G27" i="31" s="1"/>
  <c r="G27" i="32" s="1"/>
  <c r="D65" i="29"/>
  <c r="D65" i="31" s="1"/>
  <c r="D65" i="32" s="1"/>
  <c r="D65" i="30"/>
  <c r="H23" i="30"/>
  <c r="H23" i="29"/>
  <c r="H23" i="31" s="1"/>
  <c r="H23" i="32" s="1"/>
  <c r="G9" i="30"/>
  <c r="G9" i="29"/>
  <c r="G9" i="31" s="1"/>
  <c r="G9" i="32" s="1"/>
  <c r="H20" i="30"/>
  <c r="H20" i="29"/>
  <c r="H20" i="31" s="1"/>
  <c r="H20" i="32" s="1"/>
  <c r="G18" i="30"/>
  <c r="G18" i="29"/>
  <c r="G18" i="31" s="1"/>
  <c r="G18" i="32" s="1"/>
  <c r="F46" i="29"/>
  <c r="F46" i="31" s="1"/>
  <c r="F46" i="32" s="1"/>
  <c r="F46" i="30"/>
  <c r="H14" i="30"/>
  <c r="H14" i="29"/>
  <c r="D44" i="28"/>
  <c r="D44" i="35"/>
  <c r="D44" i="39" s="1"/>
  <c r="C42" i="28"/>
  <c r="C42" i="35"/>
  <c r="C42" i="39" s="1"/>
  <c r="C38" i="28"/>
  <c r="C38" i="35"/>
  <c r="C38" i="39" s="1"/>
  <c r="C36" i="28"/>
  <c r="C36" i="35"/>
  <c r="C36" i="39" s="1"/>
  <c r="I12" i="30"/>
  <c r="I12" i="29"/>
  <c r="I12" i="31" s="1"/>
  <c r="I12" i="32" s="1"/>
  <c r="I37" i="30"/>
  <c r="I37" i="29"/>
  <c r="I37" i="31" s="1"/>
  <c r="I37" i="32" s="1"/>
  <c r="I18" i="30"/>
  <c r="I18" i="29"/>
  <c r="I18" i="31" s="1"/>
  <c r="I18" i="32" s="1"/>
  <c r="H30" i="30"/>
  <c r="H30" i="29"/>
  <c r="H30" i="31" s="1"/>
  <c r="H30" i="32" s="1"/>
  <c r="E41" i="30"/>
  <c r="E41" i="29"/>
  <c r="E41" i="31" s="1"/>
  <c r="E41" i="32" s="1"/>
  <c r="E51" i="29"/>
  <c r="E51" i="31" s="1"/>
  <c r="E51" i="32" s="1"/>
  <c r="E51" i="30"/>
  <c r="J60" i="30"/>
  <c r="J60" i="29"/>
  <c r="J60" i="31" s="1"/>
  <c r="J60" i="32" s="1"/>
  <c r="J64" i="30"/>
  <c r="J64" i="29"/>
  <c r="J64" i="31" s="1"/>
  <c r="J64" i="32" s="1"/>
  <c r="J68" i="30"/>
  <c r="J68" i="29"/>
  <c r="J68" i="31" s="1"/>
  <c r="J68" i="32" s="1"/>
  <c r="C66" i="30"/>
  <c r="C66" i="29"/>
  <c r="C66" i="31" s="1"/>
  <c r="C66" i="32" s="1"/>
  <c r="C76" i="30"/>
  <c r="C76" i="29"/>
  <c r="C76" i="31" s="1"/>
  <c r="C76" i="32" s="1"/>
  <c r="E26" i="30"/>
  <c r="E26" i="29"/>
  <c r="E26" i="31" s="1"/>
  <c r="E26" i="32" s="1"/>
  <c r="I30" i="30"/>
  <c r="I30" i="29"/>
  <c r="I30" i="31" s="1"/>
  <c r="I30" i="32" s="1"/>
  <c r="I35" i="29"/>
  <c r="I35" i="31" s="1"/>
  <c r="I35" i="32" s="1"/>
  <c r="I35" i="30"/>
  <c r="F41" i="30"/>
  <c r="F41" i="29"/>
  <c r="F41" i="31" s="1"/>
  <c r="F41" i="32" s="1"/>
  <c r="D48" i="30"/>
  <c r="D48" i="29"/>
  <c r="D48" i="31" s="1"/>
  <c r="D48" i="32" s="1"/>
  <c r="F52" i="29"/>
  <c r="F52" i="31" s="1"/>
  <c r="F52" i="32" s="1"/>
  <c r="F52" i="30"/>
  <c r="C59" i="30"/>
  <c r="C59" i="29"/>
  <c r="C59" i="31" s="1"/>
  <c r="C59" i="32" s="1"/>
  <c r="C63" i="30"/>
  <c r="C63" i="29"/>
  <c r="C63" i="31" s="1"/>
  <c r="C63" i="32" s="1"/>
  <c r="C68" i="30"/>
  <c r="C68" i="29"/>
  <c r="C68" i="31" s="1"/>
  <c r="C68" i="32" s="1"/>
  <c r="C75" i="30"/>
  <c r="C75" i="29"/>
  <c r="C75" i="31" s="1"/>
  <c r="C75" i="32" s="1"/>
  <c r="G11" i="30"/>
  <c r="G11" i="29"/>
  <c r="G11" i="31" s="1"/>
  <c r="G11" i="32" s="1"/>
  <c r="G19" i="30"/>
  <c r="G19" i="29"/>
  <c r="G19" i="31" s="1"/>
  <c r="G19" i="32" s="1"/>
  <c r="F26" i="29"/>
  <c r="F26" i="31" s="1"/>
  <c r="F26" i="32" s="1"/>
  <c r="F26" i="30"/>
  <c r="C56" i="29"/>
  <c r="C56" i="31" s="1"/>
  <c r="C56" i="32" s="1"/>
  <c r="C56" i="30"/>
  <c r="D60" i="29"/>
  <c r="D60" i="31" s="1"/>
  <c r="D60" i="32" s="1"/>
  <c r="D60" i="30"/>
  <c r="D64" i="29"/>
  <c r="D64" i="31" s="1"/>
  <c r="D64" i="32" s="1"/>
  <c r="D64" i="30"/>
  <c r="D68" i="29"/>
  <c r="D68" i="31" s="1"/>
  <c r="D68" i="32" s="1"/>
  <c r="D68" i="30"/>
  <c r="D72" i="29"/>
  <c r="D72" i="31" s="1"/>
  <c r="D72" i="32" s="1"/>
  <c r="D72" i="30"/>
  <c r="D76" i="29"/>
  <c r="D76" i="31" s="1"/>
  <c r="D76" i="32" s="1"/>
  <c r="D76" i="30"/>
  <c r="D58" i="29"/>
  <c r="D58" i="31" s="1"/>
  <c r="D58" i="32" s="1"/>
  <c r="D58" i="30"/>
  <c r="E65" i="30"/>
  <c r="E65" i="29"/>
  <c r="E65" i="31" s="1"/>
  <c r="E65" i="32" s="1"/>
  <c r="E72" i="30"/>
  <c r="E72" i="29"/>
  <c r="E72" i="31" s="1"/>
  <c r="E72" i="32" s="1"/>
  <c r="H13" i="30"/>
  <c r="H13" i="29"/>
  <c r="H21" i="30"/>
  <c r="H21" i="29"/>
  <c r="H21" i="31" s="1"/>
  <c r="H21" i="32" s="1"/>
  <c r="H27" i="30"/>
  <c r="H27" i="29"/>
  <c r="H27" i="31" s="1"/>
  <c r="H27" i="32" s="1"/>
  <c r="E62" i="30"/>
  <c r="E62" i="29"/>
  <c r="E62" i="31" s="1"/>
  <c r="E62" i="32" s="1"/>
  <c r="E71" i="30"/>
  <c r="E71" i="29"/>
  <c r="E71" i="31" s="1"/>
  <c r="E71" i="32" s="1"/>
  <c r="I23" i="30"/>
  <c r="I23" i="29"/>
  <c r="I23" i="31" s="1"/>
  <c r="I23" i="32" s="1"/>
  <c r="E39" i="29"/>
  <c r="E39" i="31" s="1"/>
  <c r="E39" i="32" s="1"/>
  <c r="E39" i="30"/>
  <c r="C45" i="30"/>
  <c r="C45" i="29"/>
  <c r="C45" i="31" s="1"/>
  <c r="C45" i="32" s="1"/>
  <c r="D54" i="30"/>
  <c r="D54" i="29"/>
  <c r="D54" i="31" s="1"/>
  <c r="D54" i="32" s="1"/>
  <c r="E58" i="30"/>
  <c r="E58" i="29"/>
  <c r="E58" i="31" s="1"/>
  <c r="E58" i="32" s="1"/>
  <c r="F62" i="30"/>
  <c r="F62" i="29"/>
  <c r="F62" i="31" s="1"/>
  <c r="F62" i="32" s="1"/>
  <c r="F66" i="30"/>
  <c r="F66" i="29"/>
  <c r="F66" i="31" s="1"/>
  <c r="F66" i="32" s="1"/>
  <c r="F70" i="30"/>
  <c r="F70" i="29"/>
  <c r="F70" i="31" s="1"/>
  <c r="F70" i="32" s="1"/>
  <c r="F74" i="30"/>
  <c r="F74" i="29"/>
  <c r="F74" i="31" s="1"/>
  <c r="F74" i="32" s="1"/>
  <c r="F45" i="29"/>
  <c r="F45" i="31" s="1"/>
  <c r="F45" i="32" s="1"/>
  <c r="F45" i="30"/>
  <c r="I61" i="30"/>
  <c r="I61" i="29"/>
  <c r="I61" i="31" s="1"/>
  <c r="I61" i="32" s="1"/>
  <c r="E54" i="30"/>
  <c r="E54" i="29"/>
  <c r="E54" i="31" s="1"/>
  <c r="E54" i="32" s="1"/>
  <c r="F58" i="29"/>
  <c r="F58" i="31" s="1"/>
  <c r="F58" i="32" s="1"/>
  <c r="F58" i="30"/>
  <c r="G70" i="29"/>
  <c r="G70" i="31" s="1"/>
  <c r="G70" i="32" s="1"/>
  <c r="G30" i="30"/>
  <c r="G30" i="29"/>
  <c r="G30" i="31" s="1"/>
  <c r="G30" i="32" s="1"/>
  <c r="I63" i="30"/>
  <c r="I63" i="29"/>
  <c r="I63" i="31" s="1"/>
  <c r="I63" i="32" s="1"/>
  <c r="H7" i="30"/>
  <c r="H7" i="29"/>
  <c r="H7" i="31" s="1"/>
  <c r="H7" i="32" s="1"/>
  <c r="G16" i="30"/>
  <c r="G16" i="29"/>
  <c r="G16" i="31" s="1"/>
  <c r="G16" i="32" s="1"/>
  <c r="G24" i="30"/>
  <c r="G24" i="29"/>
  <c r="G24" i="31" s="1"/>
  <c r="G24" i="32" s="1"/>
  <c r="E29" i="30"/>
  <c r="E29" i="29"/>
  <c r="E29" i="31" s="1"/>
  <c r="E29" i="32" s="1"/>
  <c r="E45" i="29"/>
  <c r="E45" i="31" s="1"/>
  <c r="E45" i="32" s="1"/>
  <c r="E45" i="30"/>
  <c r="C50" i="29"/>
  <c r="C50" i="31" s="1"/>
  <c r="C50" i="32" s="1"/>
  <c r="C50" i="30"/>
  <c r="F54" i="30"/>
  <c r="F54" i="29"/>
  <c r="F54" i="31" s="1"/>
  <c r="F54" i="32" s="1"/>
  <c r="I4" i="30"/>
  <c r="I4" i="29"/>
  <c r="I4" i="31" s="1"/>
  <c r="I4" i="32" s="1"/>
  <c r="H12" i="30"/>
  <c r="H12" i="29"/>
  <c r="H12" i="31" s="1"/>
  <c r="H12" i="32" s="1"/>
  <c r="H24" i="29"/>
  <c r="H24" i="31" s="1"/>
  <c r="H24" i="32" s="1"/>
  <c r="H24" i="30"/>
  <c r="F29" i="30"/>
  <c r="F29" i="29"/>
  <c r="F29" i="31" s="1"/>
  <c r="F29" i="32" s="1"/>
  <c r="D50" i="30"/>
  <c r="D50" i="29"/>
  <c r="D50" i="31" s="1"/>
  <c r="D50" i="32" s="1"/>
  <c r="F3" i="30"/>
  <c r="F3" i="29"/>
  <c r="F3" i="31" s="1"/>
  <c r="F3" i="32" s="1"/>
  <c r="J49" i="34"/>
  <c r="J49" i="33"/>
  <c r="J57" i="34"/>
  <c r="J57" i="33"/>
  <c r="H9" i="28"/>
  <c r="H31" i="30"/>
  <c r="C5" i="28"/>
  <c r="C33" i="30" l="1"/>
  <c r="H59" i="29"/>
  <c r="H59" i="31" s="1"/>
  <c r="H59" i="32" s="1"/>
  <c r="J34" i="29"/>
  <c r="J34" i="31" s="1"/>
  <c r="J34" i="32" s="1"/>
  <c r="J34" i="33" s="1"/>
  <c r="H57" i="30"/>
  <c r="G31" i="30"/>
  <c r="J75" i="30"/>
  <c r="H58" i="29"/>
  <c r="H58" i="31" s="1"/>
  <c r="H58" i="32" s="1"/>
  <c r="H58" i="34" s="1"/>
  <c r="J71" i="29"/>
  <c r="J71" i="31" s="1"/>
  <c r="J71" i="32" s="1"/>
  <c r="J71" i="34" s="1"/>
  <c r="G75" i="29"/>
  <c r="G75" i="31" s="1"/>
  <c r="G75" i="32" s="1"/>
  <c r="G75" i="34" s="1"/>
  <c r="H61" i="29"/>
  <c r="H61" i="31" s="1"/>
  <c r="H61" i="32" s="1"/>
  <c r="H61" i="33" s="1"/>
  <c r="G50" i="29"/>
  <c r="G50" i="31" s="1"/>
  <c r="G50" i="32" s="1"/>
  <c r="G50" i="34" s="1"/>
  <c r="J45" i="30"/>
  <c r="H40" i="30"/>
  <c r="I67" i="30"/>
  <c r="I77" i="29"/>
  <c r="I77" i="31" s="1"/>
  <c r="I77" i="32" s="1"/>
  <c r="I77" i="33" s="1"/>
  <c r="H49" i="29"/>
  <c r="H49" i="31" s="1"/>
  <c r="H49" i="32" s="1"/>
  <c r="H49" i="34" s="1"/>
  <c r="G66" i="29"/>
  <c r="G66" i="31" s="1"/>
  <c r="G66" i="32" s="1"/>
  <c r="G66" i="34" s="1"/>
  <c r="C4" i="29"/>
  <c r="C4" i="31" s="1"/>
  <c r="C4" i="32" s="1"/>
  <c r="C4" i="33" s="1"/>
  <c r="H45" i="30"/>
  <c r="H46" i="30"/>
  <c r="J33" i="30"/>
  <c r="G62" i="29"/>
  <c r="G62" i="31" s="1"/>
  <c r="G62" i="32" s="1"/>
  <c r="H42" i="29"/>
  <c r="H42" i="31" s="1"/>
  <c r="H42" i="32" s="1"/>
  <c r="H42" i="34" s="1"/>
  <c r="C29" i="28"/>
  <c r="G44" i="30"/>
  <c r="G44" i="29"/>
  <c r="G44" i="31" s="1"/>
  <c r="G44" i="32" s="1"/>
  <c r="G44" i="33" s="1"/>
  <c r="J44" i="30"/>
  <c r="J44" i="29"/>
  <c r="J44" i="31" s="1"/>
  <c r="J44" i="32" s="1"/>
  <c r="J44" i="34" s="1"/>
  <c r="J22" i="30"/>
  <c r="J22" i="29"/>
  <c r="J22" i="31" s="1"/>
  <c r="J22" i="32" s="1"/>
  <c r="G64" i="30"/>
  <c r="G64" i="29"/>
  <c r="G64" i="31" s="1"/>
  <c r="G64" i="32" s="1"/>
  <c r="G64" i="33" s="1"/>
  <c r="J38" i="29"/>
  <c r="J38" i="31" s="1"/>
  <c r="J38" i="32" s="1"/>
  <c r="J38" i="34" s="1"/>
  <c r="J38" i="30"/>
  <c r="I75" i="30"/>
  <c r="I75" i="29"/>
  <c r="I75" i="31" s="1"/>
  <c r="I75" i="32" s="1"/>
  <c r="I75" i="34" s="1"/>
  <c r="J27" i="30"/>
  <c r="J27" i="29"/>
  <c r="J27" i="31" s="1"/>
  <c r="J27" i="32" s="1"/>
  <c r="J73" i="29"/>
  <c r="J73" i="31" s="1"/>
  <c r="J73" i="32" s="1"/>
  <c r="J73" i="34" s="1"/>
  <c r="J73" i="30"/>
  <c r="J20" i="30"/>
  <c r="J20" i="29"/>
  <c r="J20" i="31" s="1"/>
  <c r="J20" i="32" s="1"/>
  <c r="G74" i="30"/>
  <c r="G74" i="29"/>
  <c r="G74" i="31" s="1"/>
  <c r="G74" i="32" s="1"/>
  <c r="G74" i="33" s="1"/>
  <c r="G58" i="30"/>
  <c r="G58" i="29"/>
  <c r="G58" i="31" s="1"/>
  <c r="G58" i="32" s="1"/>
  <c r="J69" i="29"/>
  <c r="J69" i="31" s="1"/>
  <c r="J69" i="32" s="1"/>
  <c r="J69" i="34" s="1"/>
  <c r="J69" i="30"/>
  <c r="I72" i="30"/>
  <c r="I72" i="29"/>
  <c r="I72" i="31" s="1"/>
  <c r="I72" i="32" s="1"/>
  <c r="I72" i="34" s="1"/>
  <c r="G51" i="30"/>
  <c r="G51" i="29"/>
  <c r="G51" i="31" s="1"/>
  <c r="G51" i="32" s="1"/>
  <c r="G51" i="33" s="1"/>
  <c r="J31" i="30"/>
  <c r="J31" i="29"/>
  <c r="J31" i="31" s="1"/>
  <c r="J31" i="32" s="1"/>
  <c r="G59" i="30"/>
  <c r="G59" i="29"/>
  <c r="G59" i="31" s="1"/>
  <c r="G59" i="32" s="1"/>
  <c r="G59" i="34" s="1"/>
  <c r="G71" i="30"/>
  <c r="G71" i="29"/>
  <c r="G71" i="31" s="1"/>
  <c r="G71" i="32" s="1"/>
  <c r="G71" i="34" s="1"/>
  <c r="G48" i="30"/>
  <c r="G48" i="29"/>
  <c r="G48" i="31" s="1"/>
  <c r="G48" i="32" s="1"/>
  <c r="G48" i="34" s="1"/>
  <c r="J13" i="30"/>
  <c r="J13" i="29"/>
  <c r="J13" i="31" s="1"/>
  <c r="J13" i="32" s="1"/>
  <c r="H67" i="30"/>
  <c r="H67" i="29"/>
  <c r="H67" i="31" s="1"/>
  <c r="H67" i="32" s="1"/>
  <c r="H67" i="33" s="1"/>
  <c r="J39" i="30"/>
  <c r="J39" i="29"/>
  <c r="J39" i="31" s="1"/>
  <c r="J39" i="32" s="1"/>
  <c r="J39" i="33" s="1"/>
  <c r="H33" i="29"/>
  <c r="H33" i="31" s="1"/>
  <c r="H33" i="32" s="1"/>
  <c r="H33" i="34" s="1"/>
  <c r="H33" i="30"/>
  <c r="J28" i="29"/>
  <c r="J28" i="31" s="1"/>
  <c r="J28" i="32" s="1"/>
  <c r="J28" i="30"/>
  <c r="G76" i="30"/>
  <c r="G76" i="29"/>
  <c r="G76" i="31" s="1"/>
  <c r="G76" i="32" s="1"/>
  <c r="G76" i="34" s="1"/>
  <c r="I74" i="30"/>
  <c r="I74" i="29"/>
  <c r="I74" i="31" s="1"/>
  <c r="I74" i="32" s="1"/>
  <c r="I74" i="34" s="1"/>
  <c r="G55" i="30"/>
  <c r="G55" i="29"/>
  <c r="G55" i="31" s="1"/>
  <c r="G55" i="32" s="1"/>
  <c r="G55" i="34" s="1"/>
  <c r="J43" i="30"/>
  <c r="J43" i="29"/>
  <c r="J43" i="31" s="1"/>
  <c r="J43" i="32" s="1"/>
  <c r="G63" i="30"/>
  <c r="G63" i="29"/>
  <c r="G63" i="31" s="1"/>
  <c r="G63" i="32" s="1"/>
  <c r="G63" i="33" s="1"/>
  <c r="G73" i="30"/>
  <c r="G73" i="29"/>
  <c r="G73" i="31" s="1"/>
  <c r="G73" i="32" s="1"/>
  <c r="G73" i="34" s="1"/>
  <c r="G56" i="30"/>
  <c r="G56" i="29"/>
  <c r="G56" i="31" s="1"/>
  <c r="G56" i="32" s="1"/>
  <c r="G56" i="34" s="1"/>
  <c r="J26" i="30"/>
  <c r="J26" i="29"/>
  <c r="J26" i="31" s="1"/>
  <c r="J26" i="32" s="1"/>
  <c r="C26" i="29"/>
  <c r="C26" i="31" s="1"/>
  <c r="C26" i="32" s="1"/>
  <c r="C26" i="34" s="1"/>
  <c r="C26" i="30"/>
  <c r="J5" i="30"/>
  <c r="J5" i="29"/>
  <c r="J5" i="31" s="1"/>
  <c r="J5" i="32" s="1"/>
  <c r="J40" i="30"/>
  <c r="J40" i="29"/>
  <c r="J40" i="31" s="1"/>
  <c r="J40" i="32" s="1"/>
  <c r="J40" i="34" s="1"/>
  <c r="J21" i="29"/>
  <c r="J21" i="31" s="1"/>
  <c r="J21" i="32" s="1"/>
  <c r="J21" i="30"/>
  <c r="J77" i="30"/>
  <c r="J77" i="29"/>
  <c r="J77" i="31" s="1"/>
  <c r="J77" i="32" s="1"/>
  <c r="J77" i="33" s="1"/>
  <c r="I33" i="29"/>
  <c r="I33" i="31" s="1"/>
  <c r="I33" i="32" s="1"/>
  <c r="I33" i="34" s="1"/>
  <c r="I33" i="30"/>
  <c r="H69" i="29"/>
  <c r="H69" i="31" s="1"/>
  <c r="H69" i="32" s="1"/>
  <c r="H69" i="33" s="1"/>
  <c r="H69" i="30"/>
  <c r="J29" i="29"/>
  <c r="J29" i="31" s="1"/>
  <c r="J29" i="32" s="1"/>
  <c r="J29" i="30"/>
  <c r="I76" i="29"/>
  <c r="I76" i="31" s="1"/>
  <c r="I76" i="32" s="1"/>
  <c r="I76" i="33" s="1"/>
  <c r="I76" i="30"/>
  <c r="J16" i="30"/>
  <c r="J16" i="29"/>
  <c r="J16" i="31" s="1"/>
  <c r="J16" i="32" s="1"/>
  <c r="J3" i="30"/>
  <c r="J3" i="29"/>
  <c r="J3" i="31" s="1"/>
  <c r="J3" i="32" s="1"/>
  <c r="J3" i="34" s="1"/>
  <c r="I66" i="30"/>
  <c r="I66" i="29"/>
  <c r="I66" i="31" s="1"/>
  <c r="I66" i="32" s="1"/>
  <c r="I66" i="34" s="1"/>
  <c r="J4" i="30"/>
  <c r="J4" i="29"/>
  <c r="J4" i="31" s="1"/>
  <c r="J4" i="32" s="1"/>
  <c r="J37" i="29"/>
  <c r="J37" i="31" s="1"/>
  <c r="J37" i="32" s="1"/>
  <c r="J37" i="33" s="1"/>
  <c r="J37" i="30"/>
  <c r="H71" i="30"/>
  <c r="H71" i="29"/>
  <c r="H71" i="31" s="1"/>
  <c r="H71" i="32" s="1"/>
  <c r="H71" i="34" s="1"/>
  <c r="J18" i="29"/>
  <c r="J18" i="31" s="1"/>
  <c r="J18" i="32" s="1"/>
  <c r="J18" i="30"/>
  <c r="J30" i="29"/>
  <c r="J30" i="31" s="1"/>
  <c r="J30" i="32" s="1"/>
  <c r="J30" i="30"/>
  <c r="G37" i="30"/>
  <c r="G37" i="29"/>
  <c r="G37" i="31" s="1"/>
  <c r="G37" i="32" s="1"/>
  <c r="G37" i="34" s="1"/>
  <c r="G61" i="30"/>
  <c r="G61" i="29"/>
  <c r="G61" i="31" s="1"/>
  <c r="G61" i="32" s="1"/>
  <c r="G61" i="33" s="1"/>
  <c r="J41" i="29"/>
  <c r="J41" i="31" s="1"/>
  <c r="J41" i="32" s="1"/>
  <c r="J41" i="33" s="1"/>
  <c r="J41" i="30"/>
  <c r="H68" i="30"/>
  <c r="H68" i="29"/>
  <c r="H68" i="31" s="1"/>
  <c r="H68" i="32" s="1"/>
  <c r="H68" i="33" s="1"/>
  <c r="C31" i="30"/>
  <c r="C31" i="29"/>
  <c r="C31" i="31" s="1"/>
  <c r="C31" i="32" s="1"/>
  <c r="C31" i="34" s="1"/>
  <c r="I68" i="30"/>
  <c r="I68" i="29"/>
  <c r="I68" i="31" s="1"/>
  <c r="I68" i="32" s="1"/>
  <c r="I68" i="33" s="1"/>
  <c r="G69" i="30"/>
  <c r="G69" i="29"/>
  <c r="G69" i="31" s="1"/>
  <c r="G69" i="32" s="1"/>
  <c r="G69" i="34" s="1"/>
  <c r="J23" i="30"/>
  <c r="J23" i="29"/>
  <c r="J23" i="31" s="1"/>
  <c r="J23" i="32" s="1"/>
  <c r="C28" i="30"/>
  <c r="C28" i="29"/>
  <c r="C28" i="31" s="1"/>
  <c r="C28" i="32" s="1"/>
  <c r="C28" i="33" s="1"/>
  <c r="G77" i="30"/>
  <c r="G77" i="29"/>
  <c r="G77" i="31" s="1"/>
  <c r="G77" i="32" s="1"/>
  <c r="G77" i="34" s="1"/>
  <c r="J17" i="30"/>
  <c r="J17" i="29"/>
  <c r="J17" i="31" s="1"/>
  <c r="J17" i="32" s="1"/>
  <c r="G53" i="30"/>
  <c r="G53" i="29"/>
  <c r="G53" i="31" s="1"/>
  <c r="G53" i="32" s="1"/>
  <c r="G53" i="34" s="1"/>
  <c r="H73" i="30"/>
  <c r="H73" i="29"/>
  <c r="H73" i="31" s="1"/>
  <c r="H73" i="32" s="1"/>
  <c r="H73" i="33" s="1"/>
  <c r="J32" i="30"/>
  <c r="J32" i="29"/>
  <c r="J32" i="31" s="1"/>
  <c r="J32" i="32" s="1"/>
  <c r="J32" i="33" s="1"/>
  <c r="G41" i="29"/>
  <c r="G41" i="31" s="1"/>
  <c r="G41" i="32" s="1"/>
  <c r="G41" i="33" s="1"/>
  <c r="G41" i="30"/>
  <c r="G65" i="30"/>
  <c r="G65" i="29"/>
  <c r="G65" i="31" s="1"/>
  <c r="G65" i="32" s="1"/>
  <c r="G65" i="33" s="1"/>
  <c r="G38" i="30"/>
  <c r="G38" i="29"/>
  <c r="G38" i="31" s="1"/>
  <c r="G38" i="32" s="1"/>
  <c r="G38" i="34" s="1"/>
  <c r="H70" i="29"/>
  <c r="H70" i="31" s="1"/>
  <c r="H70" i="32" s="1"/>
  <c r="H70" i="34" s="1"/>
  <c r="H70" i="30"/>
  <c r="J11" i="30"/>
  <c r="J11" i="29"/>
  <c r="J11" i="31" s="1"/>
  <c r="J11" i="32" s="1"/>
  <c r="H66" i="30"/>
  <c r="H66" i="29"/>
  <c r="H66" i="31" s="1"/>
  <c r="H66" i="32" s="1"/>
  <c r="H66" i="34" s="1"/>
  <c r="I31" i="30"/>
  <c r="I31" i="29"/>
  <c r="I31" i="31" s="1"/>
  <c r="I31" i="32" s="1"/>
  <c r="I31" i="34" s="1"/>
  <c r="J70" i="30"/>
  <c r="J70" i="29"/>
  <c r="J70" i="31" s="1"/>
  <c r="J70" i="32" s="1"/>
  <c r="J70" i="34" s="1"/>
  <c r="J12" i="30"/>
  <c r="J12" i="29"/>
  <c r="J12" i="31" s="1"/>
  <c r="J12" i="32" s="1"/>
  <c r="G67" i="30"/>
  <c r="G67" i="29"/>
  <c r="G67" i="31" s="1"/>
  <c r="G67" i="32" s="1"/>
  <c r="G67" i="34" s="1"/>
  <c r="J25" i="30"/>
  <c r="J25" i="29"/>
  <c r="J25" i="31" s="1"/>
  <c r="J25" i="32" s="1"/>
  <c r="J19" i="30"/>
  <c r="J19" i="29"/>
  <c r="J19" i="31" s="1"/>
  <c r="J19" i="32" s="1"/>
  <c r="H75" i="29"/>
  <c r="H75" i="31" s="1"/>
  <c r="H75" i="32" s="1"/>
  <c r="H75" i="34" s="1"/>
  <c r="H75" i="30"/>
  <c r="G45" i="30"/>
  <c r="G45" i="29"/>
  <c r="G45" i="31" s="1"/>
  <c r="G45" i="32" s="1"/>
  <c r="G45" i="33" s="1"/>
  <c r="C30" i="30"/>
  <c r="C30" i="29"/>
  <c r="C30" i="31" s="1"/>
  <c r="C30" i="32" s="1"/>
  <c r="C30" i="34" s="1"/>
  <c r="G68" i="30"/>
  <c r="G68" i="29"/>
  <c r="G68" i="31" s="1"/>
  <c r="G68" i="32" s="1"/>
  <c r="G68" i="34" s="1"/>
  <c r="C34" i="30"/>
  <c r="C34" i="29"/>
  <c r="C34" i="31" s="1"/>
  <c r="C34" i="32" s="1"/>
  <c r="G42" i="30"/>
  <c r="G42" i="29"/>
  <c r="G42" i="31" s="1"/>
  <c r="G42" i="32" s="1"/>
  <c r="G42" i="33" s="1"/>
  <c r="H72" i="30"/>
  <c r="H72" i="29"/>
  <c r="H72" i="31" s="1"/>
  <c r="H72" i="32" s="1"/>
  <c r="H72" i="34" s="1"/>
  <c r="G3" i="29"/>
  <c r="G3" i="31" s="1"/>
  <c r="G3" i="32" s="1"/>
  <c r="G3" i="34" s="1"/>
  <c r="G3" i="30"/>
  <c r="G35" i="30"/>
  <c r="G35" i="29"/>
  <c r="G35" i="31" s="1"/>
  <c r="G35" i="32" s="1"/>
  <c r="G35" i="34" s="1"/>
  <c r="J72" i="29"/>
  <c r="J72" i="31" s="1"/>
  <c r="J72" i="32" s="1"/>
  <c r="J72" i="34" s="1"/>
  <c r="J72" i="30"/>
  <c r="J24" i="30"/>
  <c r="J24" i="29"/>
  <c r="J24" i="31" s="1"/>
  <c r="J24" i="32" s="1"/>
  <c r="G36" i="30"/>
  <c r="G36" i="29"/>
  <c r="G36" i="31" s="1"/>
  <c r="G36" i="32" s="1"/>
  <c r="G36" i="34" s="1"/>
  <c r="I32" i="30"/>
  <c r="I32" i="29"/>
  <c r="I32" i="31" s="1"/>
  <c r="I32" i="32" s="1"/>
  <c r="I32" i="33" s="1"/>
  <c r="J46" i="29"/>
  <c r="J46" i="31" s="1"/>
  <c r="J46" i="32" s="1"/>
  <c r="J46" i="33" s="1"/>
  <c r="J46" i="30"/>
  <c r="H77" i="30"/>
  <c r="H77" i="29"/>
  <c r="H77" i="31" s="1"/>
  <c r="H77" i="32" s="1"/>
  <c r="H77" i="33" s="1"/>
  <c r="J6" i="30"/>
  <c r="J6" i="29"/>
  <c r="J6" i="31" s="1"/>
  <c r="J6" i="32" s="1"/>
  <c r="I71" i="30"/>
  <c r="I71" i="29"/>
  <c r="I71" i="31" s="1"/>
  <c r="I71" i="32" s="1"/>
  <c r="I71" i="34" s="1"/>
  <c r="G49" i="30"/>
  <c r="G49" i="29"/>
  <c r="G49" i="31" s="1"/>
  <c r="G49" i="32" s="1"/>
  <c r="G49" i="33" s="1"/>
  <c r="C3" i="30"/>
  <c r="C3" i="29"/>
  <c r="C3" i="31" s="1"/>
  <c r="C3" i="32" s="1"/>
  <c r="C3" i="34" s="1"/>
  <c r="J7" i="30"/>
  <c r="J7" i="29"/>
  <c r="J7" i="31" s="1"/>
  <c r="J7" i="32" s="1"/>
  <c r="G46" i="30"/>
  <c r="G46" i="29"/>
  <c r="G46" i="31" s="1"/>
  <c r="G46" i="32" s="1"/>
  <c r="G46" i="34" s="1"/>
  <c r="H74" i="29"/>
  <c r="H74" i="31" s="1"/>
  <c r="H74" i="32" s="1"/>
  <c r="H74" i="34" s="1"/>
  <c r="H74" i="30"/>
  <c r="C35" i="30"/>
  <c r="C35" i="29"/>
  <c r="C35" i="31" s="1"/>
  <c r="C35" i="32" s="1"/>
  <c r="C35" i="33" s="1"/>
  <c r="G39" i="30"/>
  <c r="G39" i="29"/>
  <c r="G39" i="31" s="1"/>
  <c r="G39" i="32" s="1"/>
  <c r="G39" i="33" s="1"/>
  <c r="J42" i="29"/>
  <c r="J42" i="31" s="1"/>
  <c r="J42" i="32" s="1"/>
  <c r="J42" i="33" s="1"/>
  <c r="J42" i="30"/>
  <c r="J74" i="30"/>
  <c r="J74" i="29"/>
  <c r="J74" i="31" s="1"/>
  <c r="J74" i="32" s="1"/>
  <c r="J74" i="34" s="1"/>
  <c r="J35" i="29"/>
  <c r="J35" i="31" s="1"/>
  <c r="J35" i="32" s="1"/>
  <c r="J35" i="34" s="1"/>
  <c r="J35" i="30"/>
  <c r="C32" i="30"/>
  <c r="C32" i="29"/>
  <c r="C32" i="31" s="1"/>
  <c r="C32" i="32" s="1"/>
  <c r="C32" i="33" s="1"/>
  <c r="G40" i="30"/>
  <c r="G40" i="29"/>
  <c r="G40" i="31" s="1"/>
  <c r="G40" i="32" s="1"/>
  <c r="G40" i="33" s="1"/>
  <c r="J36" i="30"/>
  <c r="J36" i="29"/>
  <c r="J36" i="31" s="1"/>
  <c r="J36" i="32" s="1"/>
  <c r="J36" i="33" s="1"/>
  <c r="H3" i="29"/>
  <c r="H3" i="31" s="1"/>
  <c r="H3" i="32" s="1"/>
  <c r="H3" i="33" s="1"/>
  <c r="H3" i="30"/>
  <c r="G60" i="30"/>
  <c r="G60" i="29"/>
  <c r="G60" i="31" s="1"/>
  <c r="G60" i="32" s="1"/>
  <c r="G60" i="34" s="1"/>
  <c r="G33" i="30"/>
  <c r="G33" i="29"/>
  <c r="G33" i="31" s="1"/>
  <c r="G33" i="32" s="1"/>
  <c r="I73" i="30"/>
  <c r="I73" i="29"/>
  <c r="I73" i="31" s="1"/>
  <c r="I73" i="32" s="1"/>
  <c r="I73" i="34" s="1"/>
  <c r="G57" i="30"/>
  <c r="G57" i="29"/>
  <c r="G57" i="31" s="1"/>
  <c r="G57" i="32" s="1"/>
  <c r="G57" i="33" s="1"/>
  <c r="J14" i="30"/>
  <c r="J14" i="29"/>
  <c r="J14" i="31" s="1"/>
  <c r="J14" i="32" s="1"/>
  <c r="G72" i="30"/>
  <c r="G72" i="29"/>
  <c r="G72" i="31" s="1"/>
  <c r="G72" i="32" s="1"/>
  <c r="G72" i="33" s="1"/>
  <c r="H76" i="30"/>
  <c r="H76" i="29"/>
  <c r="H76" i="31" s="1"/>
  <c r="H76" i="32" s="1"/>
  <c r="H76" i="34" s="1"/>
  <c r="I70" i="29"/>
  <c r="I70" i="31" s="1"/>
  <c r="I70" i="32" s="1"/>
  <c r="I70" i="34" s="1"/>
  <c r="I70" i="30"/>
  <c r="G43" i="30"/>
  <c r="G43" i="29"/>
  <c r="G43" i="31" s="1"/>
  <c r="G43" i="32" s="1"/>
  <c r="G43" i="34" s="1"/>
  <c r="G34" i="30"/>
  <c r="G34" i="29"/>
  <c r="G34" i="31" s="1"/>
  <c r="G34" i="32" s="1"/>
  <c r="G34" i="33" s="1"/>
  <c r="J76" i="30"/>
  <c r="J76" i="29"/>
  <c r="J76" i="31" s="1"/>
  <c r="J76" i="32" s="1"/>
  <c r="J76" i="33" s="1"/>
  <c r="J15" i="29"/>
  <c r="J15" i="31" s="1"/>
  <c r="J15" i="32" s="1"/>
  <c r="J15" i="30"/>
  <c r="C27" i="28"/>
  <c r="G31" i="35"/>
  <c r="G31" i="39" s="1"/>
  <c r="H31" i="35"/>
  <c r="H31" i="39" s="1"/>
  <c r="G52" i="35"/>
  <c r="G52" i="39" s="1"/>
  <c r="G52" i="28"/>
  <c r="G52" i="30" s="1"/>
  <c r="G47" i="35"/>
  <c r="G47" i="39" s="1"/>
  <c r="G47" i="28"/>
  <c r="G47" i="30" s="1"/>
  <c r="H64" i="30"/>
  <c r="H64" i="29"/>
  <c r="H64" i="31" s="1"/>
  <c r="H64" i="32" s="1"/>
  <c r="H64" i="33" s="1"/>
  <c r="H39" i="35"/>
  <c r="H39" i="39" s="1"/>
  <c r="H53" i="35"/>
  <c r="H53" i="39" s="1"/>
  <c r="H57" i="35"/>
  <c r="H57" i="39" s="1"/>
  <c r="H55" i="29"/>
  <c r="H55" i="31" s="1"/>
  <c r="H55" i="32" s="1"/>
  <c r="H55" i="34" s="1"/>
  <c r="H55" i="30"/>
  <c r="H37" i="29"/>
  <c r="H37" i="31" s="1"/>
  <c r="H37" i="32" s="1"/>
  <c r="H37" i="33" s="1"/>
  <c r="H37" i="30"/>
  <c r="H39" i="30"/>
  <c r="H39" i="29"/>
  <c r="H39" i="31" s="1"/>
  <c r="H39" i="32" s="1"/>
  <c r="H39" i="34" s="1"/>
  <c r="H34" i="30"/>
  <c r="H34" i="29"/>
  <c r="H34" i="31" s="1"/>
  <c r="H34" i="32" s="1"/>
  <c r="H34" i="34" s="1"/>
  <c r="H60" i="30"/>
  <c r="H60" i="29"/>
  <c r="H60" i="31" s="1"/>
  <c r="H60" i="32" s="1"/>
  <c r="H60" i="34" s="1"/>
  <c r="H38" i="29"/>
  <c r="H38" i="31" s="1"/>
  <c r="H38" i="32" s="1"/>
  <c r="H38" i="34" s="1"/>
  <c r="H38" i="30"/>
  <c r="H65" i="30"/>
  <c r="H65" i="29"/>
  <c r="H65" i="31" s="1"/>
  <c r="H65" i="32" s="1"/>
  <c r="H65" i="33" s="1"/>
  <c r="H50" i="30"/>
  <c r="H50" i="29"/>
  <c r="H50" i="31" s="1"/>
  <c r="H50" i="32" s="1"/>
  <c r="H50" i="33" s="1"/>
  <c r="G54" i="30"/>
  <c r="G54" i="29"/>
  <c r="G54" i="31" s="1"/>
  <c r="G54" i="32" s="1"/>
  <c r="G54" i="33" s="1"/>
  <c r="H63" i="30"/>
  <c r="H63" i="29"/>
  <c r="H63" i="31" s="1"/>
  <c r="H63" i="32" s="1"/>
  <c r="H63" i="34" s="1"/>
  <c r="H48" i="29"/>
  <c r="H48" i="31" s="1"/>
  <c r="H48" i="32" s="1"/>
  <c r="H48" i="34" s="1"/>
  <c r="H48" i="30"/>
  <c r="H44" i="29"/>
  <c r="H44" i="31" s="1"/>
  <c r="H44" i="32" s="1"/>
  <c r="H44" i="34" s="1"/>
  <c r="H44" i="30"/>
  <c r="H62" i="29"/>
  <c r="H62" i="31" s="1"/>
  <c r="H62" i="32" s="1"/>
  <c r="H62" i="34" s="1"/>
  <c r="H62" i="30"/>
  <c r="H51" i="29"/>
  <c r="H51" i="31" s="1"/>
  <c r="H51" i="32" s="1"/>
  <c r="H51" i="33" s="1"/>
  <c r="H51" i="30"/>
  <c r="H53" i="30"/>
  <c r="H53" i="29"/>
  <c r="H53" i="31" s="1"/>
  <c r="H53" i="32" s="1"/>
  <c r="H53" i="34" s="1"/>
  <c r="H41" i="29"/>
  <c r="H41" i="31" s="1"/>
  <c r="H41" i="32" s="1"/>
  <c r="H41" i="34" s="1"/>
  <c r="H37" i="35"/>
  <c r="H37" i="39" s="1"/>
  <c r="H60" i="35"/>
  <c r="H60" i="39" s="1"/>
  <c r="H78" i="31"/>
  <c r="H78" i="29"/>
  <c r="H78" i="34"/>
  <c r="H78" i="28"/>
  <c r="H78" i="32"/>
  <c r="H78" i="33"/>
  <c r="H78" i="30"/>
  <c r="J78" i="31"/>
  <c r="J78" i="29"/>
  <c r="J78" i="34"/>
  <c r="J78" i="28"/>
  <c r="J78" i="33"/>
  <c r="J78" i="32"/>
  <c r="J78" i="30"/>
  <c r="H51" i="35"/>
  <c r="H51" i="39" s="1"/>
  <c r="H62" i="35"/>
  <c r="H62" i="39" s="1"/>
  <c r="I78" i="31"/>
  <c r="I78" i="29"/>
  <c r="I78" i="34"/>
  <c r="I78" i="28"/>
  <c r="I78" i="33"/>
  <c r="I78" i="32"/>
  <c r="I78" i="30"/>
  <c r="H36" i="28"/>
  <c r="H56" i="28"/>
  <c r="H54" i="28"/>
  <c r="H35" i="28"/>
  <c r="G78" i="32"/>
  <c r="G78" i="30"/>
  <c r="G78" i="33"/>
  <c r="G78" i="31"/>
  <c r="G78" i="29"/>
  <c r="G78" i="34"/>
  <c r="G78" i="28"/>
  <c r="H42" i="35"/>
  <c r="H42" i="39" s="1"/>
  <c r="H58" i="35"/>
  <c r="H58" i="39" s="1"/>
  <c r="H43" i="29"/>
  <c r="H43" i="31" s="1"/>
  <c r="H43" i="32" s="1"/>
  <c r="H43" i="33" s="1"/>
  <c r="I51" i="29"/>
  <c r="I51" i="31" s="1"/>
  <c r="I51" i="32" s="1"/>
  <c r="I51" i="34" s="1"/>
  <c r="H7" i="34"/>
  <c r="H7" i="33"/>
  <c r="C45" i="34"/>
  <c r="C45" i="33"/>
  <c r="E65" i="34"/>
  <c r="E65" i="33"/>
  <c r="J68" i="34"/>
  <c r="J68" i="33"/>
  <c r="H59" i="34"/>
  <c r="H59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29"/>
  <c r="D44" i="31" s="1"/>
  <c r="D44" i="32" s="1"/>
  <c r="D44" i="30"/>
  <c r="C41" i="30"/>
  <c r="C41" i="29"/>
  <c r="C41" i="31" s="1"/>
  <c r="C41" i="32" s="1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1"/>
  <c r="H13" i="32" s="1"/>
  <c r="D25" i="29"/>
  <c r="D25" i="31" s="1"/>
  <c r="D25" i="32" s="1"/>
  <c r="C75" i="34"/>
  <c r="C75" i="33"/>
  <c r="I30" i="33"/>
  <c r="I30" i="34"/>
  <c r="C66" i="34"/>
  <c r="C66" i="33"/>
  <c r="J64" i="34"/>
  <c r="J64" i="33"/>
  <c r="H14" i="31"/>
  <c r="H14" i="32" s="1"/>
  <c r="D29" i="29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0"/>
  <c r="C25" i="29"/>
  <c r="C25" i="31" s="1"/>
  <c r="C25" i="32" s="1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0"/>
  <c r="C36" i="29"/>
  <c r="C36" i="31" s="1"/>
  <c r="C36" i="32" s="1"/>
  <c r="C37" i="30"/>
  <c r="C37" i="29"/>
  <c r="C37" i="31" s="1"/>
  <c r="C37" i="32" s="1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G69" i="33"/>
  <c r="E53" i="34"/>
  <c r="E53" i="33"/>
  <c r="F31" i="34"/>
  <c r="F31" i="33"/>
  <c r="F65" i="34"/>
  <c r="F65" i="33"/>
  <c r="I27" i="33"/>
  <c r="I27" i="34"/>
  <c r="E68" i="34"/>
  <c r="E68" i="33"/>
  <c r="G37" i="33"/>
  <c r="I72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C40" i="30"/>
  <c r="C40" i="29"/>
  <c r="C40" i="31" s="1"/>
  <c r="C40" i="32" s="1"/>
  <c r="E48" i="33"/>
  <c r="E48" i="34"/>
  <c r="C34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C38" i="30"/>
  <c r="C38" i="29"/>
  <c r="C38" i="31" s="1"/>
  <c r="C38" i="32" s="1"/>
  <c r="F46" i="33"/>
  <c r="F46" i="34"/>
  <c r="C43" i="30"/>
  <c r="C43" i="29"/>
  <c r="C43" i="31" s="1"/>
  <c r="C43" i="32" s="1"/>
  <c r="D56" i="34"/>
  <c r="D56" i="33"/>
  <c r="D67" i="34"/>
  <c r="D67" i="33"/>
  <c r="J67" i="34"/>
  <c r="J67" i="33"/>
  <c r="C39" i="30"/>
  <c r="C39" i="29"/>
  <c r="C39" i="31" s="1"/>
  <c r="C39" i="32" s="1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71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33" i="34"/>
  <c r="G6" i="33"/>
  <c r="G6" i="34"/>
  <c r="C61" i="34"/>
  <c r="C61" i="33"/>
  <c r="C44" i="30"/>
  <c r="C44" i="29"/>
  <c r="C44" i="31" s="1"/>
  <c r="C44" i="32" s="1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0"/>
  <c r="C5" i="29"/>
  <c r="C5" i="31" s="1"/>
  <c r="C5" i="32" s="1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D76" i="34"/>
  <c r="D76" i="33"/>
  <c r="D60" i="34"/>
  <c r="D60" i="33"/>
  <c r="C42" i="30"/>
  <c r="C42" i="29"/>
  <c r="C42" i="31" s="1"/>
  <c r="C42" i="32" s="1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F3" i="33"/>
  <c r="F3" i="34"/>
  <c r="J9" i="28"/>
  <c r="H9" i="30"/>
  <c r="H9" i="29"/>
  <c r="H50" i="34" l="1"/>
  <c r="J34" i="34"/>
  <c r="H49" i="33"/>
  <c r="G64" i="34"/>
  <c r="J38" i="33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29"/>
  <c r="G47" i="31" s="1"/>
  <c r="G47" i="32" s="1"/>
  <c r="G47" i="33" s="1"/>
  <c r="I70" i="33"/>
  <c r="J35" i="33"/>
  <c r="H38" i="33"/>
  <c r="G76" i="33"/>
  <c r="G67" i="33"/>
  <c r="J72" i="33"/>
  <c r="G52" i="29"/>
  <c r="G52" i="31" s="1"/>
  <c r="G52" i="32" s="1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0"/>
  <c r="C29" i="29"/>
  <c r="C29" i="31" s="1"/>
  <c r="C29" i="32" s="1"/>
  <c r="J23" i="34"/>
  <c r="J23" i="33"/>
  <c r="J4" i="33"/>
  <c r="J4" i="34"/>
  <c r="H52" i="28"/>
  <c r="H52" i="29" s="1"/>
  <c r="H52" i="31" s="1"/>
  <c r="H52" i="32" s="1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28"/>
  <c r="H47" i="29" s="1"/>
  <c r="H47" i="31" s="1"/>
  <c r="H47" i="32" s="1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0"/>
  <c r="C27" i="29"/>
  <c r="C27" i="31" s="1"/>
  <c r="C27" i="32" s="1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29"/>
  <c r="H54" i="31" s="1"/>
  <c r="H54" i="32" s="1"/>
  <c r="H54" i="30"/>
  <c r="H63" i="33"/>
  <c r="H56" i="30"/>
  <c r="H56" i="29"/>
  <c r="H56" i="31" s="1"/>
  <c r="H56" i="32" s="1"/>
  <c r="H36" i="29"/>
  <c r="H36" i="31" s="1"/>
  <c r="H36" i="32" s="1"/>
  <c r="H36" i="30"/>
  <c r="H35" i="29"/>
  <c r="H35" i="31" s="1"/>
  <c r="H35" i="32" s="1"/>
  <c r="H35" i="30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J9" i="30"/>
  <c r="J9" i="29"/>
  <c r="H9" i="31"/>
  <c r="H9" i="32" s="1"/>
  <c r="G47" i="34" l="1"/>
  <c r="G52" i="33"/>
  <c r="H52" i="30"/>
  <c r="H47" i="30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1"/>
  <c r="J9" i="32" s="1"/>
  <c r="H9" i="34"/>
  <c r="H9" i="33"/>
  <c r="J9" i="34" l="1"/>
  <c r="J9" i="33"/>
</calcChain>
</file>

<file path=xl/sharedStrings.xml><?xml version="1.0" encoding="utf-8"?>
<sst xmlns="http://schemas.openxmlformats.org/spreadsheetml/2006/main" count="527" uniqueCount="235">
  <si>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</si>
  <si>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</si>
  <si>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</si>
  <si>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</si>
  <si>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</si>
  <si>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</si>
  <si>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</si>
  <si>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RADIO_TxDone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</si>
  <si>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</si>
  <si>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</si>
  <si>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</si>
  <si>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</si>
  <si>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</si>
  <si>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</si>
  <si>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</si>
  <si>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</si>
  <si>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</si>
  <si>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ConfigureRadioRx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</si>
  <si>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</si>
  <si>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</si>
  <si>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</si>
  <si>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</si>
  <si>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</si>
  <si>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</si>
  <si>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</si>
  <si>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</si>
  <si>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</si>
  <si>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</si>
  <si>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</si>
  <si>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</si>
  <si>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</si>
  <si>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</si>
  <si>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</si>
  <si>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</si>
  <si>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</si>
  <si>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</si>
  <si>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</si>
  <si>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</si>
  <si>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</si>
  <si>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</si>
  <si>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</si>
  <si>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</si>
  <si>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</si>
  <si>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</si>
  <si>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</si>
  <si>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</si>
  <si>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</si>
  <si>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</si>
  <si>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</si>
  <si>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</si>
  <si>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</si>
  <si>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</si>
  <si>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</si>
  <si>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</si>
  <si>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timeOnAirTimerId;</t>
  </si>
  <si>
    <t>watchdogTimerId;</t>
  </si>
  <si>
    <t>watchdogTimerTimeout;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</si>
  <si>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</si>
  <si>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</si>
  <si>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</si>
  <si>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</si>
  <si>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</si>
  <si>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</si>
  <si>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</si>
  <si>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</si>
  <si>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</si>
  <si>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</si>
  <si>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</si>
  <si>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</si>
  <si>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</si>
  <si>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</si>
  <si>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</si>
  <si>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</si>
  <si>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</si>
  <si>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</si>
  <si>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</si>
  <si>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</si>
  <si>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</si>
  <si>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</si>
  <si>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</si>
  <si>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</si>
  <si>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</si>
  <si>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</si>
  <si>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</si>
  <si>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</si>
  <si>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</si>
  <si>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</si>
  <si>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</si>
  <si>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</si>
  <si>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</si>
  <si>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</si>
  <si>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</si>
  <si>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</si>
  <si>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</si>
  <si>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</si>
  <si>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</si>
  <si>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</si>
  <si>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ConfigureRadioTx</t>
  </si>
  <si>
    <t>modulation[]</t>
  </si>
  <si>
    <t>DISABLED</t>
  </si>
  <si>
    <t>modulation[dataRate]</t>
  </si>
  <si>
    <t>freq</t>
  </si>
  <si>
    <t>spreadingFactor[]</t>
  </si>
  <si>
    <t>spreadingFactor[dataRate]</t>
  </si>
  <si>
    <t>bandwidth[dataRate]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</si>
  <si>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</si>
  <si>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</si>
  <si>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</si>
  <si>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</si>
  <si>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</si>
  <si>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</si>
  <si>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</si>
  <si>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</si>
  <si>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</si>
  <si>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</si>
  <si>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</si>
  <si>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</si>
  <si>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</si>
  <si>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</si>
  <si>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</si>
  <si>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</si>
  <si>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</si>
  <si>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</si>
  <si>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</si>
  <si>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</si>
  <si>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</si>
  <si>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</si>
  <si>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</si>
  <si>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</si>
  <si>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</si>
  <si>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</si>
  <si>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</si>
  <si>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</si>
  <si>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</si>
  <si>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</si>
  <si>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</si>
  <si>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</si>
  <si>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</si>
  <si>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</si>
  <si>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</si>
  <si>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</si>
  <si>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</si>
  <si>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</si>
  <si>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</si>
  <si>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</si>
  <si>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</si>
  <si>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</si>
  <si>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</si>
  <si>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</si>
  <si>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</si>
  <si>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ConfigureRadio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</si>
  <si>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</si>
  <si>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</si>
  <si>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</si>
  <si>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</si>
  <si>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</si>
  <si>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</si>
  <si>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</si>
  <si>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</si>
  <si>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</si>
  <si>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</si>
  <si>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</si>
  <si>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</si>
  <si>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</si>
  <si>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</si>
  <si>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</si>
  <si>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</si>
  <si>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LEN</t>
  </si>
  <si>
    <t>SNR</t>
  </si>
  <si>
    <t>LoRa_RxDone_OK</t>
  </si>
  <si>
    <t>LoRa_RxDone_Fail</t>
  </si>
  <si>
    <t>RX_success</t>
  </si>
  <si>
    <t>buffer[1]</t>
  </si>
  <si>
    <t>RADIO_RxDone_OK</t>
  </si>
  <si>
    <t>LoRa_Tx_Done</t>
  </si>
  <si>
    <t>LoRa_EnterReceive()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</si>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</sst>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5" borderId="0" xfId="0" quotePrefix="1" applyFill="1" applyAlignment="1">
      <alignment horizontal="center"/>
    </xf>
    <xf numFmtId="0" fontId="0" fillId="6" borderId="0" xfId="0" applyFill="1"/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5" borderId="4" xfId="0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/>
    <xf numFmtId="0" fontId="1" fillId="6" borderId="0" xfId="1" applyFill="1"/>
    <xf numFmtId="0" fontId="1" fillId="0" borderId="4" xfId="1" applyBorder="1"/>
    <xf numFmtId="0" fontId="1" fillId="0" borderId="4" xfId="1" applyFill="1" applyBorder="1"/>
    <xf numFmtId="0" fontId="0" fillId="4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0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0" xfId="0" applyFill="1"/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/>
    <xf numFmtId="0" fontId="0" fillId="9" borderId="0" xfId="0" applyFill="1" applyAlignment="1">
      <alignment horizontal="center"/>
    </xf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8" borderId="0" xfId="0" quotePrefix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Border="1"/>
    <xf numFmtId="0" fontId="0" fillId="9" borderId="0" xfId="0" quotePrefix="1" applyFill="1" applyAlignment="1">
      <alignment horizontal="center"/>
    </xf>
    <xf numFmtId="0" fontId="0" fillId="9" borderId="5" xfId="0" applyFill="1" applyBorder="1"/>
    <xf numFmtId="0" fontId="0" fillId="8" borderId="5" xfId="0" applyFill="1" applyBorder="1"/>
    <xf numFmtId="0" fontId="0" fillId="7" borderId="5" xfId="0" applyFill="1" applyBorder="1"/>
    <xf numFmtId="0" fontId="0" fillId="2" borderId="4" xfId="0" applyFill="1" applyBorder="1"/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0" xfId="0" applyFill="1" applyBorder="1"/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2" borderId="0" xfId="0" quotePrefix="1" applyFill="1" applyAlignment="1">
      <alignment horizontal="center"/>
    </xf>
    <xf numFmtId="0" fontId="0" fillId="12" borderId="4" xfId="0" applyFill="1" applyBorder="1"/>
    <xf numFmtId="0" fontId="0" fillId="12" borderId="0" xfId="0" applyFill="1" applyBorder="1" applyAlignment="1">
      <alignment horizontal="center"/>
    </xf>
    <xf numFmtId="0" fontId="0" fillId="12" borderId="5" xfId="0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45</v>
      </c>
      <c r="G2" t="s">
        <v>44</v>
      </c>
    </row>
    <row r="3" spans="2:8" x14ac:dyDescent="0.25">
      <c r="B3" s="5" t="s">
        <v>34</v>
      </c>
      <c r="C3" t="s">
        <v>119</v>
      </c>
      <c r="D3"/>
      <c r="E3"/>
      <c r="G3" t="s">
        <v>46</v>
      </c>
      <c r="H3" t="s">
        <v>60</v>
      </c>
    </row>
    <row r="4" spans="2:8" x14ac:dyDescent="0.25">
      <c r="B4" t="s">
        <v>120</v>
      </c>
      <c r="C4" t="s">
        <v>121</v>
      </c>
      <c r="D4"/>
      <c r="E4"/>
      <c r="G4" t="s">
        <v>46</v>
      </c>
      <c r="H4" t="s">
        <v>190</v>
      </c>
    </row>
    <row r="5" spans="2:8" x14ac:dyDescent="0.25">
      <c r="B5" t="s">
        <v>39</v>
      </c>
      <c r="C5" t="s">
        <v>38</v>
      </c>
      <c r="D5" t="s">
        <v>57</v>
      </c>
      <c r="E5"/>
      <c r="G5" t="s">
        <v>46</v>
      </c>
      <c r="H5" t="s">
        <v>191</v>
      </c>
    </row>
    <row r="6" spans="2:8" x14ac:dyDescent="0.25">
      <c r="B6" t="s">
        <v>124</v>
      </c>
      <c r="C6" t="s">
        <v>214</v>
      </c>
      <c r="D6"/>
      <c r="E6"/>
      <c r="G6" t="s">
        <v>16</v>
      </c>
      <c r="H6" t="s">
        <v>192</v>
      </c>
    </row>
    <row r="7" spans="2:8" x14ac:dyDescent="0.25">
      <c r="B7" t="s">
        <v>22</v>
      </c>
      <c r="C7" t="s">
        <v>23</v>
      </c>
      <c r="D7" s="3"/>
      <c r="E7"/>
      <c r="G7" t="s">
        <v>22</v>
      </c>
      <c r="H7" t="s">
        <v>193</v>
      </c>
    </row>
    <row r="8" spans="2:8" x14ac:dyDescent="0.25">
      <c r="B8" t="s">
        <v>22</v>
      </c>
      <c r="C8" t="s">
        <v>24</v>
      </c>
      <c r="D8"/>
      <c r="E8"/>
      <c r="G8" t="s">
        <v>22</v>
      </c>
      <c r="H8" t="s">
        <v>195</v>
      </c>
    </row>
    <row r="9" spans="2:8" x14ac:dyDescent="0.25">
      <c r="B9" t="s">
        <v>22</v>
      </c>
      <c r="C9" t="s">
        <v>184</v>
      </c>
      <c r="D9"/>
      <c r="E9"/>
      <c r="G9" t="s">
        <v>22</v>
      </c>
      <c r="H9" t="s">
        <v>194</v>
      </c>
    </row>
    <row r="10" spans="2:8" x14ac:dyDescent="0.25">
      <c r="B10" t="s">
        <v>22</v>
      </c>
      <c r="C10" t="s">
        <v>25</v>
      </c>
      <c r="D10"/>
      <c r="E10"/>
      <c r="G10" t="s">
        <v>51</v>
      </c>
      <c r="H10" t="s">
        <v>133</v>
      </c>
    </row>
    <row r="11" spans="2:8" x14ac:dyDescent="0.25">
      <c r="B11" t="s">
        <v>22</v>
      </c>
      <c r="C11" t="s">
        <v>26</v>
      </c>
      <c r="D11"/>
      <c r="E11"/>
      <c r="G11" t="s">
        <v>52</v>
      </c>
      <c r="H11" t="s">
        <v>196</v>
      </c>
    </row>
    <row r="12" spans="2:8" x14ac:dyDescent="0.25">
      <c r="B12" t="s">
        <v>22</v>
      </c>
      <c r="C12" t="s">
        <v>27</v>
      </c>
      <c r="D12"/>
      <c r="E12"/>
      <c r="G12" t="s">
        <v>53</v>
      </c>
      <c r="H12" t="s">
        <v>197</v>
      </c>
    </row>
    <row r="13" spans="2:8" x14ac:dyDescent="0.25">
      <c r="B13" t="s">
        <v>22</v>
      </c>
      <c r="C13" t="s">
        <v>28</v>
      </c>
      <c r="D13"/>
      <c r="E13"/>
      <c r="G13" t="s">
        <v>47</v>
      </c>
      <c r="H13" t="s">
        <v>198</v>
      </c>
    </row>
    <row r="14" spans="2:8" x14ac:dyDescent="0.25">
      <c r="B14" t="s">
        <v>22</v>
      </c>
      <c r="C14" t="s">
        <v>29</v>
      </c>
      <c r="D14"/>
      <c r="E14"/>
      <c r="G14" t="s">
        <v>22</v>
      </c>
      <c r="H14" t="s">
        <v>199</v>
      </c>
    </row>
    <row r="15" spans="2:8" x14ac:dyDescent="0.25">
      <c r="B15" t="s">
        <v>22</v>
      </c>
      <c r="C15" t="s">
        <v>116</v>
      </c>
      <c r="D15"/>
      <c r="E15"/>
      <c r="G15" t="s">
        <v>22</v>
      </c>
      <c r="H15" t="s">
        <v>200</v>
      </c>
    </row>
    <row r="16" spans="2:8" x14ac:dyDescent="0.25">
      <c r="B16" t="s">
        <v>22</v>
      </c>
      <c r="C16" t="s">
        <v>86</v>
      </c>
      <c r="D16"/>
      <c r="E16"/>
      <c r="G16" t="s">
        <v>22</v>
      </c>
      <c r="H16" t="s">
        <v>162</v>
      </c>
    </row>
    <row r="17" spans="2:8" x14ac:dyDescent="0.25">
      <c r="B17" t="s">
        <v>22</v>
      </c>
      <c r="C17" t="s">
        <v>33</v>
      </c>
      <c r="D17"/>
      <c r="E17"/>
      <c r="G17" t="s">
        <v>16</v>
      </c>
      <c r="H17" t="s">
        <v>201</v>
      </c>
    </row>
    <row r="18" spans="2:8" x14ac:dyDescent="0.25">
      <c r="B18" t="s">
        <v>31</v>
      </c>
      <c r="C18" t="s">
        <v>93</v>
      </c>
      <c r="D18"/>
      <c r="E18"/>
      <c r="G18" t="s">
        <v>22</v>
      </c>
      <c r="H18" t="s">
        <v>202</v>
      </c>
    </row>
    <row r="19" spans="2:8" x14ac:dyDescent="0.25">
      <c r="C19" t="s">
        <v>94</v>
      </c>
      <c r="D19"/>
      <c r="E19"/>
      <c r="G19" t="s">
        <v>48</v>
      </c>
      <c r="H19" t="s">
        <v>152</v>
      </c>
    </row>
    <row r="20" spans="2:8" x14ac:dyDescent="0.25">
      <c r="B20" t="s">
        <v>31</v>
      </c>
      <c r="C20" t="s">
        <v>91</v>
      </c>
      <c r="D20"/>
      <c r="E20"/>
      <c r="G20" t="s">
        <v>22</v>
      </c>
      <c r="H20" t="s">
        <v>153</v>
      </c>
    </row>
    <row r="21" spans="2:8" x14ac:dyDescent="0.25">
      <c r="C21" t="s">
        <v>92</v>
      </c>
      <c r="D21"/>
      <c r="E21"/>
    </row>
    <row r="22" spans="2:8" x14ac:dyDescent="0.25">
      <c r="B22" t="s">
        <v>31</v>
      </c>
      <c r="C22" t="s">
        <v>146</v>
      </c>
      <c r="D22"/>
      <c r="E22"/>
      <c r="G22" t="s">
        <v>22</v>
      </c>
      <c r="H22" t="s">
        <v>115</v>
      </c>
    </row>
    <row r="23" spans="2:8" x14ac:dyDescent="0.25">
      <c r="C23" t="s">
        <v>147</v>
      </c>
      <c r="D23"/>
      <c r="E23"/>
      <c r="G23" t="s">
        <v>203</v>
      </c>
      <c r="H23" t="s">
        <v>114</v>
      </c>
    </row>
    <row r="24" spans="2:8" x14ac:dyDescent="0.25">
      <c r="B24" t="s">
        <v>22</v>
      </c>
      <c r="C24" t="s">
        <v>81</v>
      </c>
      <c r="D24"/>
      <c r="E24"/>
      <c r="G24" t="s">
        <v>22</v>
      </c>
      <c r="H24" t="s">
        <v>204</v>
      </c>
    </row>
    <row r="25" spans="2:8" x14ac:dyDescent="0.25">
      <c r="B25" t="s">
        <v>22</v>
      </c>
      <c r="C25" t="s">
        <v>74</v>
      </c>
      <c r="D25"/>
      <c r="E25"/>
      <c r="G25" t="s">
        <v>22</v>
      </c>
      <c r="H25" t="s">
        <v>205</v>
      </c>
    </row>
    <row r="26" spans="2:8" x14ac:dyDescent="0.25">
      <c r="B26" t="s">
        <v>22</v>
      </c>
      <c r="C26" t="s">
        <v>75</v>
      </c>
      <c r="D26"/>
      <c r="E26"/>
      <c r="G26" t="s">
        <v>22</v>
      </c>
      <c r="H26" t="s">
        <v>206</v>
      </c>
    </row>
    <row r="27" spans="2:8" x14ac:dyDescent="0.25">
      <c r="B27" t="s">
        <v>77</v>
      </c>
      <c r="C27" t="s">
        <v>78</v>
      </c>
      <c r="D27"/>
      <c r="E27"/>
      <c r="G27" t="s">
        <v>46</v>
      </c>
      <c r="H27" t="s">
        <v>112</v>
      </c>
    </row>
    <row r="28" spans="2:8" x14ac:dyDescent="0.25">
      <c r="B28" t="s">
        <v>22</v>
      </c>
      <c r="C28" t="s">
        <v>30</v>
      </c>
      <c r="D28"/>
      <c r="E28"/>
      <c r="G28" t="s">
        <v>22</v>
      </c>
      <c r="H28" t="s">
        <v>207</v>
      </c>
    </row>
    <row r="29" spans="2:8" x14ac:dyDescent="0.25">
      <c r="B29" t="s">
        <v>22</v>
      </c>
      <c r="C29" t="s">
        <v>83</v>
      </c>
      <c r="D29"/>
      <c r="E29"/>
      <c r="G29" t="s">
        <v>46</v>
      </c>
      <c r="H29" t="s">
        <v>220</v>
      </c>
    </row>
    <row r="30" spans="2:8" x14ac:dyDescent="0.25">
      <c r="B30" t="s">
        <v>22</v>
      </c>
      <c r="C30" t="s">
        <v>84</v>
      </c>
      <c r="D30"/>
      <c r="E30"/>
      <c r="G30" t="s">
        <v>22</v>
      </c>
      <c r="H30" t="s">
        <v>208</v>
      </c>
    </row>
    <row r="31" spans="2:8" x14ac:dyDescent="0.25">
      <c r="B31" t="s">
        <v>22</v>
      </c>
      <c r="C31" t="s">
        <v>177</v>
      </c>
      <c r="D31"/>
      <c r="E31"/>
      <c r="G31" t="s">
        <v>47</v>
      </c>
      <c r="H31" t="s">
        <v>209</v>
      </c>
    </row>
    <row r="32" spans="2:8" x14ac:dyDescent="0.25">
      <c r="D32"/>
      <c r="E32"/>
      <c r="G32" t="s">
        <v>49</v>
      </c>
      <c r="H32" t="s">
        <v>158</v>
      </c>
    </row>
    <row r="33" spans="2:8" x14ac:dyDescent="0.25">
      <c r="D33"/>
      <c r="E33"/>
      <c r="G33" t="s">
        <v>50</v>
      </c>
      <c r="H33" t="s">
        <v>210</v>
      </c>
    </row>
    <row r="34" spans="2:8" x14ac:dyDescent="0.25">
      <c r="D34"/>
      <c r="E34"/>
      <c r="G34" t="s">
        <v>50</v>
      </c>
      <c r="H34" t="s">
        <v>211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32</v>
      </c>
      <c r="C38" t="s">
        <v>79</v>
      </c>
      <c r="D38"/>
      <c r="E38"/>
    </row>
    <row r="39" spans="2:8" x14ac:dyDescent="0.25">
      <c r="B39" t="s">
        <v>22</v>
      </c>
      <c r="C39" t="s">
        <v>90</v>
      </c>
      <c r="D39" t="s">
        <v>80</v>
      </c>
      <c r="E39"/>
    </row>
    <row r="40" spans="2:8" x14ac:dyDescent="0.25">
      <c r="B40" t="s">
        <v>22</v>
      </c>
      <c r="C40" t="s">
        <v>98</v>
      </c>
      <c r="D40"/>
      <c r="E40"/>
    </row>
    <row r="41" spans="2:8" x14ac:dyDescent="0.25">
      <c r="B41" t="s">
        <v>22</v>
      </c>
      <c r="C41" t="s">
        <v>102</v>
      </c>
      <c r="D41"/>
      <c r="E41"/>
    </row>
    <row r="42" spans="2:8" x14ac:dyDescent="0.25">
      <c r="B42" t="s">
        <v>22</v>
      </c>
      <c r="C42" t="s">
        <v>105</v>
      </c>
      <c r="D42"/>
      <c r="E42"/>
    </row>
    <row r="43" spans="2:8" x14ac:dyDescent="0.25">
      <c r="B43" t="s">
        <v>22</v>
      </c>
      <c r="C43" t="s">
        <v>106</v>
      </c>
      <c r="D43"/>
      <c r="E43"/>
    </row>
    <row r="44" spans="2:8" x14ac:dyDescent="0.25">
      <c r="B44" t="s">
        <v>22</v>
      </c>
      <c r="C44" t="s">
        <v>128</v>
      </c>
      <c r="D44" t="s">
        <v>129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161</v>
      </c>
    </row>
    <row r="49" spans="2:3" x14ac:dyDescent="0.25">
      <c r="B49" t="s">
        <v>131</v>
      </c>
      <c r="C49" t="s">
        <v>132</v>
      </c>
    </row>
    <row r="50" spans="2:3" x14ac:dyDescent="0.25">
      <c r="C50" t="s">
        <v>133</v>
      </c>
    </row>
    <row r="51" spans="2:3" x14ac:dyDescent="0.25">
      <c r="C51" t="s">
        <v>60</v>
      </c>
    </row>
    <row r="52" spans="2:3" x14ac:dyDescent="0.25">
      <c r="C52" t="s">
        <v>135</v>
      </c>
    </row>
    <row r="53" spans="2:3" x14ac:dyDescent="0.25">
      <c r="C53" t="s">
        <v>140</v>
      </c>
    </row>
    <row r="54" spans="2:3" x14ac:dyDescent="0.25">
      <c r="C54" t="s">
        <v>141</v>
      </c>
    </row>
    <row r="55" spans="2:3" x14ac:dyDescent="0.25">
      <c r="C55" t="s">
        <v>142</v>
      </c>
    </row>
    <row r="56" spans="2:3" x14ac:dyDescent="0.25">
      <c r="C56" t="s">
        <v>143</v>
      </c>
    </row>
    <row r="57" spans="2:3" x14ac:dyDescent="0.25">
      <c r="C57" t="s">
        <v>144</v>
      </c>
    </row>
    <row r="58" spans="2:3" x14ac:dyDescent="0.25">
      <c r="C58" t="s">
        <v>145</v>
      </c>
    </row>
    <row r="59" spans="2:3" x14ac:dyDescent="0.25">
      <c r="C59" t="s">
        <v>151</v>
      </c>
    </row>
    <row r="60" spans="2:3" x14ac:dyDescent="0.25">
      <c r="C60" t="s">
        <v>152</v>
      </c>
    </row>
    <row r="61" spans="2:3" x14ac:dyDescent="0.25">
      <c r="C61" t="s">
        <v>153</v>
      </c>
    </row>
    <row r="62" spans="2:3" x14ac:dyDescent="0.25">
      <c r="C62" t="s">
        <v>192</v>
      </c>
    </row>
    <row r="63" spans="2:3" x14ac:dyDescent="0.25">
      <c r="C63" t="s">
        <v>154</v>
      </c>
    </row>
    <row r="64" spans="2:3" x14ac:dyDescent="0.25">
      <c r="C64" t="s">
        <v>155</v>
      </c>
    </row>
    <row r="65" spans="3:3" x14ac:dyDescent="0.25">
      <c r="C65" t="s">
        <v>156</v>
      </c>
    </row>
    <row r="66" spans="3:3" x14ac:dyDescent="0.25">
      <c r="C66" t="s">
        <v>157</v>
      </c>
    </row>
    <row r="67" spans="3:3" x14ac:dyDescent="0.25">
      <c r="C67" t="s">
        <v>158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topLeftCell="A1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40</v>
      </c>
      <c r="I1" s="2" t="s">
        <v>3</v>
      </c>
    </row>
    <row r="3" spans="3:10" x14ac:dyDescent="0.25">
      <c r="C3" t="str">
        <f>function!C3</f>
        <v>LoRa_transmitStatus</v>
      </c>
      <c r="D3" s="6" t="s">
        <v>10</v>
      </c>
      <c r="G3" t="str">
        <f>function!B3</f>
        <v>LoRaMacState_t</v>
      </c>
      <c r="H3" t="str">
        <f>function!C3</f>
        <v>LoRa_transmitStatus</v>
      </c>
      <c r="I3" s="6" t="s">
        <v>10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122</v>
      </c>
      <c r="G4" t="str">
        <f>function!B4</f>
        <v>LoRaStatus_t</v>
      </c>
      <c r="H4" t="str">
        <f>function!C4</f>
        <v>LoRa_StatusDanych</v>
      </c>
      <c r="I4" s="6" t="s">
        <v>122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41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71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58</v>
      </c>
      <c r="J7">
        <f>function!E7</f>
        <v>0</v>
      </c>
    </row>
    <row r="8" spans="3:10" x14ac:dyDescent="0.25">
      <c r="C8" t="s">
        <v>125</v>
      </c>
      <c r="G8" t="str">
        <f>function!B8</f>
        <v>uint8_t</v>
      </c>
      <c r="H8" t="str">
        <f>function!C8</f>
        <v>LoRa_TimerHandshaking</v>
      </c>
      <c r="I8" s="15" t="s">
        <v>71</v>
      </c>
      <c r="J8" s="1" t="s">
        <v>13</v>
      </c>
    </row>
    <row r="9" spans="3:10" x14ac:dyDescent="0.25">
      <c r="C9" t="s">
        <v>126</v>
      </c>
      <c r="G9" t="str">
        <f>function!B9</f>
        <v>uint8_t</v>
      </c>
      <c r="H9" t="str">
        <f>function!C9</f>
        <v>LoRa_TimerRetransmit</v>
      </c>
      <c r="I9" s="15" t="s">
        <v>71</v>
      </c>
      <c r="J9" s="1" t="s">
        <v>185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5" t="s">
        <v>71</v>
      </c>
      <c r="J10" s="1" t="s">
        <v>59</v>
      </c>
    </row>
    <row r="11" spans="3:10" x14ac:dyDescent="0.25">
      <c r="C11" s="9" t="s">
        <v>1</v>
      </c>
      <c r="D11" s="2" t="s">
        <v>127</v>
      </c>
      <c r="E11" s="2" t="s">
        <v>42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130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32" t="s">
        <v>73</v>
      </c>
      <c r="D14" s="2" t="s">
        <v>43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138</v>
      </c>
      <c r="G16" t="str">
        <f>function!B16</f>
        <v>uint8_t</v>
      </c>
      <c r="H16" t="str">
        <f>function!C16</f>
        <v>LoRa_maxChannels</v>
      </c>
      <c r="I16" s="16" t="s">
        <v>80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95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96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6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6" t="s">
        <v>66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134</v>
      </c>
      <c r="G26" t="str">
        <f>function!B26</f>
        <v>uint8_t</v>
      </c>
      <c r="H26" t="str">
        <f>function!C26</f>
        <v>LoRa_batteryLevel</v>
      </c>
      <c r="I26" s="16" t="s">
        <v>76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61</v>
      </c>
      <c r="G27" t="str">
        <f>function!B27</f>
        <v>IsmBand_t</v>
      </c>
      <c r="H27" t="str">
        <f>function!C27</f>
        <v>LoRa_ismBand</v>
      </c>
      <c r="I27" s="16" t="s">
        <v>43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42</v>
      </c>
      <c r="G28" t="str">
        <f>function!B28</f>
        <v>uint8_t</v>
      </c>
      <c r="H28" t="str">
        <f>function!C28</f>
        <v>LoRa_currentDataRate</v>
      </c>
      <c r="I28" s="16" t="s">
        <v>82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136</v>
      </c>
      <c r="G29" t="str">
        <f>function!B29</f>
        <v>uint8_t</v>
      </c>
      <c r="H29" t="str">
        <f>function!C29</f>
        <v>LoRa_minDataRate</v>
      </c>
      <c r="I29" s="16" t="s">
        <v>82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6" t="s">
        <v>85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6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42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6" t="s">
        <v>66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65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61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64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62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71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71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71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71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63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71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71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127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71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71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71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67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72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137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68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69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70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6" t="s">
        <v>139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217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7"/>
      <c r="D7" s="28"/>
      <c r="E7" s="18"/>
      <c r="F7" s="19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20"/>
      <c r="D8" s="29"/>
      <c r="E8" s="21"/>
      <c r="F8" s="22"/>
      <c r="G8" t="str">
        <f>LoRa_System_Init!G8</f>
        <v>uint8_t</v>
      </c>
      <c r="H8" t="str">
        <f>LoRa_System_Init!H8</f>
        <v>LoRa_TimerHandshaking</v>
      </c>
      <c r="I8" s="50" t="s">
        <v>71</v>
      </c>
      <c r="J8" t="str">
        <f>LoRa_System_Init!J8</f>
        <v>LoRa_TimerHandshakingCallback</v>
      </c>
    </row>
    <row r="9" spans="3:10" x14ac:dyDescent="0.25">
      <c r="C9" s="20"/>
      <c r="D9" s="29"/>
      <c r="E9" s="21"/>
      <c r="F9" s="22"/>
      <c r="G9" t="str">
        <f>LoRa_System_Init!G9</f>
        <v>uint8_t</v>
      </c>
      <c r="H9" t="str">
        <f>LoRa_System_Init!H9</f>
        <v>LoRa_TimerRetransmit</v>
      </c>
      <c r="I9" s="50" t="s">
        <v>71</v>
      </c>
      <c r="J9" t="str">
        <f>LoRa_System_Init!J9</f>
        <v>LoRa_TimerRetransmitCallback</v>
      </c>
    </row>
    <row r="10" spans="3:10" x14ac:dyDescent="0.25">
      <c r="C10" s="46" t="s">
        <v>73</v>
      </c>
      <c r="D10" s="43" t="s">
        <v>43</v>
      </c>
      <c r="E10" s="21"/>
      <c r="F10" s="56" t="s">
        <v>221</v>
      </c>
      <c r="G10" t="str">
        <f>LoRa_System_Init!G10</f>
        <v>uint8_t</v>
      </c>
      <c r="H10" t="str">
        <f>LoRa_System_Init!H10</f>
        <v>LoRa_TimerWaitAck</v>
      </c>
      <c r="I10" s="50" t="s">
        <v>71</v>
      </c>
      <c r="J10" t="str">
        <f>LoRa_System_Init!J10</f>
        <v>LoRa_TimerWaitAckCallback</v>
      </c>
    </row>
    <row r="11" spans="3:10" x14ac:dyDescent="0.25">
      <c r="C11" s="39" t="s">
        <v>218</v>
      </c>
      <c r="D11" s="29"/>
      <c r="E11" s="21"/>
      <c r="F11" s="55" t="s">
        <v>221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8" t="s">
        <v>1</v>
      </c>
      <c r="D12" s="49" t="s">
        <v>127</v>
      </c>
      <c r="E12" s="52" t="s">
        <v>42</v>
      </c>
      <c r="F12" s="54" t="s">
        <v>221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20"/>
      <c r="D13" s="29"/>
      <c r="E13" s="21"/>
      <c r="F13" s="22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20"/>
      <c r="D14" s="29"/>
      <c r="E14" s="21"/>
      <c r="F14" s="22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20"/>
      <c r="D15" s="29"/>
      <c r="E15" s="21"/>
      <c r="F15" s="22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20"/>
      <c r="D16" s="29"/>
      <c r="E16" s="21"/>
      <c r="F16" s="22"/>
      <c r="G16" t="str">
        <f>LoRa_System_Init!G16</f>
        <v>uint8_t</v>
      </c>
      <c r="H16" t="str">
        <f>LoRa_System_Init!H16</f>
        <v>LoRa_maxChannels</v>
      </c>
      <c r="I16" s="45" t="s">
        <v>80</v>
      </c>
      <c r="J16">
        <f>LoRa_System_Init!J16</f>
        <v>0</v>
      </c>
    </row>
    <row r="17" spans="2:10" x14ac:dyDescent="0.25">
      <c r="C17" s="20"/>
      <c r="D17" s="29"/>
      <c r="E17" s="21"/>
      <c r="F17" s="22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20"/>
      <c r="D18" s="29"/>
      <c r="E18" s="21"/>
      <c r="F18" s="22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20"/>
      <c r="D19" s="29"/>
      <c r="E19" s="21"/>
      <c r="F19" s="22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33" t="s">
        <v>18</v>
      </c>
      <c r="D20" s="29"/>
      <c r="E20" s="21"/>
      <c r="F20" s="22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20"/>
      <c r="D21" s="29"/>
      <c r="E21" s="21"/>
      <c r="F21" s="22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20"/>
      <c r="D22" s="29"/>
      <c r="E22" s="21"/>
      <c r="F22" s="22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20"/>
      <c r="D23" s="29"/>
      <c r="E23" s="21"/>
      <c r="F23" s="22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5"/>
      <c r="D24" s="30"/>
      <c r="E24" s="26"/>
      <c r="F24" s="27"/>
      <c r="G24" t="str">
        <f>LoRa_System_Init!G24</f>
        <v>uint8_t</v>
      </c>
      <c r="H24" t="str">
        <f>LoRa_System_Init!H24</f>
        <v>LoRa_txPower</v>
      </c>
      <c r="I24" s="45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45" t="s">
        <v>66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7" t="s">
        <v>134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45" t="s">
        <v>76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7" t="s">
        <v>61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45" t="s">
        <v>43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7" t="s">
        <v>42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45" t="s">
        <v>82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7" t="s">
        <v>136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7" t="s">
        <v>42</v>
      </c>
      <c r="J34">
        <f>LoRa_System_Init!J34</f>
        <v>0</v>
      </c>
    </row>
    <row r="35" spans="2:10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7">
        <v>25000</v>
      </c>
      <c r="J35">
        <f>LoRa_System_Init!J35</f>
        <v>0</v>
      </c>
    </row>
    <row r="36" spans="2:10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7"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7"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7" t="s">
        <v>66</v>
      </c>
      <c r="J38">
        <f>LoRa_System_Init!J38</f>
        <v>0</v>
      </c>
    </row>
    <row r="39" spans="2:10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7" t="s">
        <v>65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7"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7" t="s">
        <v>61</v>
      </c>
      <c r="J41">
        <f>LoRa_System_Init!J41</f>
        <v>0</v>
      </c>
    </row>
    <row r="42" spans="2:10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7" t="s">
        <v>64</v>
      </c>
      <c r="J42">
        <f>LoRa_System_Init!J42</f>
        <v>0</v>
      </c>
    </row>
    <row r="43" spans="2:10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7" t="s">
        <v>62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7">
        <v>1</v>
      </c>
      <c r="J44">
        <f>LoRa_System_Init!J44</f>
        <v>0</v>
      </c>
    </row>
    <row r="45" spans="2:10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7">
        <v>1</v>
      </c>
      <c r="J45">
        <f>LoRa_System_Init!J45</f>
        <v>0</v>
      </c>
    </row>
    <row r="46" spans="2:10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53" t="s">
        <v>71</v>
      </c>
      <c r="J46">
        <f>LoRa_System_Init!J46</f>
        <v>0</v>
      </c>
    </row>
    <row r="47" spans="2:10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53" t="s">
        <v>71</v>
      </c>
      <c r="J47">
        <f>LoRa_System_Init!J47</f>
        <v>0</v>
      </c>
    </row>
    <row r="48" spans="2:10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53" t="s">
        <v>71</v>
      </c>
      <c r="J48">
        <f>LoRa_System_Init!J48</f>
        <v>0</v>
      </c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53" t="s">
        <v>71</v>
      </c>
      <c r="J49">
        <f>LoRa_System_Init!J49</f>
        <v>0</v>
      </c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7" t="s">
        <v>63</v>
      </c>
      <c r="J50">
        <f>LoRa_System_Init!J50</f>
        <v>0</v>
      </c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53" t="s">
        <v>71</v>
      </c>
      <c r="J51">
        <f>LoRa_System_Init!J51</f>
        <v>0</v>
      </c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53" t="s">
        <v>71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7" t="s">
        <v>127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53" t="s">
        <v>71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53" t="s">
        <v>71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53" t="s">
        <v>71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7" t="s">
        <v>67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7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7" t="s">
        <v>72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7" t="s">
        <v>219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7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7" t="s">
        <v>68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7" t="s">
        <v>69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7" t="s">
        <v>70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D1FC3EFC-7FBE-4227-A16B-3DCD3440F27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89</v>
      </c>
      <c r="B1" s="5" t="s">
        <v>37</v>
      </c>
      <c r="C1" s="4" t="s">
        <v>18</v>
      </c>
      <c r="D1" s="7" t="s">
        <v>87</v>
      </c>
      <c r="E1" s="2" t="s">
        <v>88</v>
      </c>
      <c r="I1" s="2" t="s">
        <v>3</v>
      </c>
    </row>
    <row r="2" spans="1:10" x14ac:dyDescent="0.25">
      <c r="A2" t="s">
        <v>22</v>
      </c>
      <c r="B2" t="s">
        <v>9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51" t="s">
        <v>10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222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7"/>
      <c r="D7" s="28"/>
      <c r="E7" s="18"/>
      <c r="F7" s="19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20"/>
      <c r="D8" s="29"/>
      <c r="E8" s="21"/>
      <c r="F8" s="22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20"/>
      <c r="D9" s="42" t="s">
        <v>87</v>
      </c>
      <c r="E9" s="36" t="s">
        <v>223</v>
      </c>
      <c r="F9" s="22"/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6" t="s">
        <v>224</v>
      </c>
      <c r="D10" s="43" t="s">
        <v>225</v>
      </c>
      <c r="E10" s="38" t="s">
        <v>225</v>
      </c>
      <c r="F10" s="56" t="s">
        <v>221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9" t="s">
        <v>226</v>
      </c>
      <c r="D11" s="44" t="s">
        <v>87</v>
      </c>
      <c r="E11" s="40" t="s">
        <v>223</v>
      </c>
      <c r="F11" s="55" t="s">
        <v>225</v>
      </c>
      <c r="G11" t="str">
        <f>main!G11</f>
        <v>uint8_t</v>
      </c>
      <c r="H11" t="str">
        <f>main!H11</f>
        <v>LoRa_HeaderBufor</v>
      </c>
      <c r="I11" s="51" t="s">
        <v>108</v>
      </c>
      <c r="J11">
        <f>main!J11</f>
        <v>0</v>
      </c>
    </row>
    <row r="12" spans="1:10" x14ac:dyDescent="0.25">
      <c r="C12" s="20"/>
      <c r="D12" s="29"/>
      <c r="E12" s="21"/>
      <c r="F12" s="22"/>
      <c r="G12" t="str">
        <f>main!G12</f>
        <v>uint8_t</v>
      </c>
      <c r="H12" t="str">
        <f>main!H12</f>
        <v>LoRa_HeaderLength</v>
      </c>
      <c r="I12" s="51" t="s">
        <v>109</v>
      </c>
      <c r="J12">
        <f>main!J12</f>
        <v>0</v>
      </c>
    </row>
    <row r="13" spans="1:10" x14ac:dyDescent="0.25">
      <c r="C13" s="20"/>
      <c r="D13" s="29"/>
      <c r="E13" s="21"/>
      <c r="F13" s="22"/>
      <c r="G13" t="str">
        <f>main!G13</f>
        <v>uint8_t</v>
      </c>
      <c r="H13" t="str">
        <f>main!H13</f>
        <v>LoRa_Bufor</v>
      </c>
      <c r="I13" s="51" t="s">
        <v>111</v>
      </c>
      <c r="J13">
        <f>main!J13</f>
        <v>0</v>
      </c>
    </row>
    <row r="14" spans="1:10" x14ac:dyDescent="0.25">
      <c r="C14" s="20"/>
      <c r="D14" s="29"/>
      <c r="E14" s="21"/>
      <c r="F14" s="22"/>
      <c r="G14" t="str">
        <f>main!G14</f>
        <v>uint8_t</v>
      </c>
      <c r="H14" t="str">
        <f>main!H14</f>
        <v>LoRa_BuforLength</v>
      </c>
      <c r="I14" s="51" t="s">
        <v>110</v>
      </c>
      <c r="J14">
        <f>main!J14</f>
        <v>0</v>
      </c>
    </row>
    <row r="15" spans="1:10" x14ac:dyDescent="0.25">
      <c r="C15" s="20"/>
      <c r="D15" s="29"/>
      <c r="E15" s="21"/>
      <c r="F15" s="22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20"/>
      <c r="D16" s="29"/>
      <c r="E16" s="21"/>
      <c r="F16" s="22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20"/>
      <c r="D17" s="29"/>
      <c r="E17" s="21"/>
      <c r="F17" s="22"/>
      <c r="G17" t="str">
        <f>main!G17</f>
        <v>uint8_t</v>
      </c>
      <c r="H17" t="str">
        <f>main!H17</f>
        <v>LoRa_lastUsedChannelIndex</v>
      </c>
      <c r="I17" s="45" t="s">
        <v>188</v>
      </c>
      <c r="J17">
        <f>main!J17</f>
        <v>0</v>
      </c>
    </row>
    <row r="18" spans="3:10" x14ac:dyDescent="0.25">
      <c r="C18" s="20"/>
      <c r="D18" s="29"/>
      <c r="E18" s="21"/>
      <c r="F18" s="22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20"/>
      <c r="D19" s="29"/>
      <c r="E19" s="21"/>
      <c r="F19" s="22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33" t="s">
        <v>148</v>
      </c>
      <c r="D20" s="29"/>
      <c r="E20" s="21"/>
      <c r="F20" s="22"/>
      <c r="G20" t="str">
        <f>main!G20</f>
        <v>ReceiveWindowParameters_t</v>
      </c>
      <c r="H20" t="str">
        <f>main!H20</f>
        <v>LoRa_receiveChannelParameters.frequency</v>
      </c>
      <c r="I20" s="45" t="s">
        <v>189</v>
      </c>
      <c r="J20">
        <f>main!J20</f>
        <v>0</v>
      </c>
    </row>
    <row r="21" spans="3:10" x14ac:dyDescent="0.25">
      <c r="C21" s="20"/>
      <c r="D21" s="29"/>
      <c r="E21" s="21"/>
      <c r="F21" s="22"/>
      <c r="G21">
        <f>main!G21</f>
        <v>0</v>
      </c>
      <c r="H21" t="str">
        <f>main!H21</f>
        <v>LoRa_receiveChannelParameters.dataRate</v>
      </c>
      <c r="I21" s="45" t="s">
        <v>30</v>
      </c>
      <c r="J21">
        <f>main!J21</f>
        <v>0</v>
      </c>
    </row>
    <row r="22" spans="3:10" x14ac:dyDescent="0.25">
      <c r="C22" s="20"/>
      <c r="D22" s="29"/>
      <c r="E22" s="21"/>
      <c r="F22" s="22"/>
      <c r="G22" t="str">
        <f>main!G22</f>
        <v>ReceiveWindowParameters_t</v>
      </c>
      <c r="H22" t="str">
        <f>main!H22</f>
        <v>LoRa_sendChannelParameters.frequency</v>
      </c>
      <c r="I22" s="45" t="s">
        <v>189</v>
      </c>
      <c r="J22">
        <f>main!J22</f>
        <v>0</v>
      </c>
    </row>
    <row r="23" spans="3:10" x14ac:dyDescent="0.25">
      <c r="C23" s="20"/>
      <c r="D23" s="29"/>
      <c r="E23" s="21"/>
      <c r="F23" s="22"/>
      <c r="G23">
        <f>main!G23</f>
        <v>0</v>
      </c>
      <c r="H23" t="str">
        <f>main!H23</f>
        <v>LoRa_sendChannelParameters.dataRate</v>
      </c>
      <c r="I23" s="45" t="s">
        <v>30</v>
      </c>
      <c r="J23">
        <f>main!J23</f>
        <v>0</v>
      </c>
    </row>
    <row r="24" spans="3:10" x14ac:dyDescent="0.25">
      <c r="C24" s="25"/>
      <c r="D24" s="30"/>
      <c r="E24" s="26"/>
      <c r="F24" s="27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C20" location="LoRa_Send_Header!C1" display="LoRa_Send_Header" xr:uid="{6E2DE23F-AFDC-4DC1-B151-8AA19A505A7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7"/>
  <sheetViews>
    <sheetView showZeros="0" topLeftCell="A1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148</v>
      </c>
      <c r="D1" s="2" t="s">
        <v>87</v>
      </c>
      <c r="E1" s="2" t="s">
        <v>88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19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123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RADIO_FLAG_TRANSMITTING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230</v>
      </c>
      <c r="J6">
        <f>LoRa_Send!J6</f>
        <v>0</v>
      </c>
    </row>
    <row r="7" spans="2:10" x14ac:dyDescent="0.25">
      <c r="C7" s="17"/>
      <c r="D7" s="28"/>
      <c r="E7" s="18"/>
      <c r="F7" s="19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20"/>
      <c r="D8" s="29"/>
      <c r="E8" s="21"/>
      <c r="F8" s="22"/>
      <c r="G8" t="str">
        <f>LoRa_Send!G8</f>
        <v>uint8_t</v>
      </c>
      <c r="H8" t="str">
        <f>LoRa_Send!H8</f>
        <v>LoRa_TimerHandshaking</v>
      </c>
      <c r="I8" s="6" t="s">
        <v>11</v>
      </c>
      <c r="J8" t="str">
        <f>LoRa_Send!J8</f>
        <v>LoRa_TimerHandshakingCallback</v>
      </c>
    </row>
    <row r="9" spans="2:10" x14ac:dyDescent="0.25">
      <c r="B9" s="3"/>
      <c r="C9" s="20"/>
      <c r="D9" s="29"/>
      <c r="E9" s="21"/>
      <c r="F9" s="22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6" t="s">
        <v>227</v>
      </c>
      <c r="D10" s="43" t="s">
        <v>149</v>
      </c>
      <c r="E10" s="38" t="s">
        <v>93</v>
      </c>
      <c r="F10" s="22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9" t="s">
        <v>212</v>
      </c>
      <c r="D11" s="44" t="s">
        <v>149</v>
      </c>
      <c r="E11" s="40" t="s">
        <v>93</v>
      </c>
      <c r="F11" s="55" t="s">
        <v>221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8" t="s">
        <v>0</v>
      </c>
      <c r="D12" s="49" t="s">
        <v>26</v>
      </c>
      <c r="E12" s="52" t="s">
        <v>27</v>
      </c>
      <c r="F12" s="54" t="s">
        <v>221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7" t="s">
        <v>159</v>
      </c>
      <c r="D13" s="42">
        <v>4</v>
      </c>
      <c r="E13" s="21"/>
      <c r="F13" s="37" t="s">
        <v>221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20"/>
      <c r="D14" s="29"/>
      <c r="E14" s="21"/>
      <c r="F14" s="22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20"/>
      <c r="D15" s="29"/>
      <c r="E15" s="21"/>
      <c r="F15" s="22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20"/>
      <c r="D16" s="29"/>
      <c r="E16" s="21"/>
      <c r="F16" s="22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20"/>
      <c r="D17" s="29"/>
      <c r="E17" s="21"/>
      <c r="F17" s="22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20"/>
      <c r="D18" s="29"/>
      <c r="E18" s="21"/>
      <c r="F18" s="22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20"/>
      <c r="D19" s="29"/>
      <c r="E19" s="21"/>
      <c r="F19" s="22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33" t="s">
        <v>14</v>
      </c>
      <c r="D20" s="29"/>
      <c r="E20" s="21"/>
      <c r="F20" s="22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33" t="s">
        <v>231</v>
      </c>
      <c r="D21" s="29"/>
      <c r="E21" s="21"/>
      <c r="F21" s="22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33" t="s">
        <v>232</v>
      </c>
      <c r="D22" s="29"/>
      <c r="E22" s="21"/>
      <c r="F22" s="22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33" t="s">
        <v>204</v>
      </c>
      <c r="D23" s="29"/>
      <c r="E23" s="21"/>
      <c r="F23" s="22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5"/>
      <c r="D24" s="30"/>
      <c r="E24" s="26"/>
      <c r="F24" s="27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7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7" t="s">
        <v>160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7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7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0" x14ac:dyDescent="0.25">
      <c r="C33" t="str">
        <f>LoRa_Send!C33</f>
        <v>SyncWord</v>
      </c>
      <c r="D33" s="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0" x14ac:dyDescent="0.25">
      <c r="C34" t="str">
        <f>LoRa_Send!C34</f>
        <v>CRC</v>
      </c>
      <c r="D34" s="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51" t="s">
        <v>93</v>
      </c>
      <c r="J34">
        <f>LoRa_Send!J34</f>
        <v>0</v>
      </c>
    </row>
    <row r="35" spans="3:10" x14ac:dyDescent="0.25">
      <c r="C35" t="str">
        <f>LoRa_Send!C35</f>
        <v>IQInverted</v>
      </c>
      <c r="D35" s="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0" x14ac:dyDescent="0.25">
      <c r="C36" t="str">
        <f>LoRa_Send!C36</f>
        <v>HopPeriod</v>
      </c>
      <c r="D36" s="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0" x14ac:dyDescent="0.25">
      <c r="C37" t="str">
        <f>LoRa_Send!C37</f>
        <v>errorCodingRate</v>
      </c>
      <c r="D37" s="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0" x14ac:dyDescent="0.25">
      <c r="C38" t="str">
        <f>LoRa_Send!C38</f>
        <v>implicitHeaderMode</v>
      </c>
      <c r="D38" s="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51" t="s">
        <v>74</v>
      </c>
      <c r="J38">
        <f>LoRa_Send!J38</f>
        <v>0</v>
      </c>
    </row>
    <row r="39" spans="3:10" x14ac:dyDescent="0.25">
      <c r="C39" t="str">
        <f>LoRa_Send!C39</f>
        <v>preambleLen</v>
      </c>
      <c r="D39" s="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0" x14ac:dyDescent="0.25">
      <c r="C40" t="str">
        <f>LoRa_Send!C40</f>
        <v>symbolTimeout</v>
      </c>
      <c r="D40" s="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0" x14ac:dyDescent="0.25">
      <c r="C41" t="str">
        <f>LoRa_Send!C41</f>
        <v>FSKfreqDeviation</v>
      </c>
      <c r="D41" s="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51" t="s">
        <v>216</v>
      </c>
      <c r="J41">
        <f>LoRa_Send!J41</f>
        <v>0</v>
      </c>
    </row>
    <row r="42" spans="3:10" x14ac:dyDescent="0.25">
      <c r="C42" t="str">
        <f>LoRa_Send!C42</f>
        <v>FSKBitRate</v>
      </c>
      <c r="D42" s="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51" t="s">
        <v>228</v>
      </c>
      <c r="J42">
        <f>LoRa_Send!J42</f>
        <v>0</v>
      </c>
    </row>
    <row r="43" spans="3:10" x14ac:dyDescent="0.25">
      <c r="C43" t="str">
        <f>LoRa_Send!C43</f>
        <v>FSK_PREAMBLE</v>
      </c>
      <c r="D43" s="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51" t="s">
        <v>229</v>
      </c>
      <c r="J43">
        <f>LoRa_Send!J43</f>
        <v>0</v>
      </c>
    </row>
    <row r="44" spans="3:10" x14ac:dyDescent="0.25">
      <c r="C44" t="str">
        <f>LoRa_Send!C44</f>
        <v>fskDataShaping</v>
      </c>
      <c r="D44" s="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45" t="s">
        <v>107</v>
      </c>
      <c r="J44">
        <f>LoRa_Send!J44</f>
        <v>0</v>
      </c>
    </row>
    <row r="45" spans="3:10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45" t="s">
        <v>41</v>
      </c>
      <c r="J45">
        <f>LoRa_Send!J45</f>
        <v>0</v>
      </c>
    </row>
    <row r="46" spans="3:10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0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163</v>
      </c>
      <c r="J47">
        <f>LoRa_Send!J47</f>
        <v>0</v>
      </c>
    </row>
    <row r="48" spans="3:10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51" t="s">
        <v>99</v>
      </c>
      <c r="J48">
        <f>LoRa_Send!J48</f>
        <v>0</v>
      </c>
    </row>
    <row r="49" spans="3:10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45" t="s">
        <v>99</v>
      </c>
      <c r="J49">
        <f>LoRa_Send!J49</f>
        <v>0</v>
      </c>
    </row>
    <row r="50" spans="3:10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3:10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3:10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0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0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0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53" t="s">
        <v>5</v>
      </c>
      <c r="J55">
        <f>LoRa_Send!J55</f>
        <v>0</v>
      </c>
    </row>
    <row r="56" spans="3:10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0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7" t="str">
        <f>I58</f>
        <v>WATCHDOG_DEFAULT_TIME</v>
      </c>
      <c r="J57" t="str">
        <f>LoRa_Send!J57</f>
        <v>RADIO_WatchdogTimeout</v>
      </c>
    </row>
    <row r="58" spans="3:10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0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0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0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0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0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0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C20" location="LoRa_TxDone!C1" display="LoRa_TxDone" xr:uid="{DA648A90-1675-492E-A5BF-2D7E115AFA86}"/>
    <hyperlink ref="C21" location="LoRa_TimerHandshakingCallback!C1" display="LoRa_TimerHandshaking_timeout" xr:uid="{9F8AED28-3CD2-4B9B-8820-B01E5AEDE833}"/>
    <hyperlink ref="C22" location="RADIO_WatchdogTimeout!C1" display="watchdogTimerId_timeout" xr:uid="{322B6016-9AB2-43F8-9A93-50DD50DDF281}"/>
    <hyperlink ref="C23" location="timeOnAirTimerId!C1" display="timeOnAirTimerId" xr:uid="{C3DDB455-7FD4-4D0D-AF2C-3D2AE5D03C0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14</v>
      </c>
      <c r="D1" s="2" t="s">
        <v>15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51" t="s">
        <v>20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41" t="s">
        <v>91</v>
      </c>
    </row>
    <row r="5" spans="1:11" x14ac:dyDescent="0.25">
      <c r="C5" t="str">
        <f>LoRa_Send_Header!C5</f>
        <v>flags</v>
      </c>
      <c r="D5" s="2" t="str">
        <f>I47</f>
        <v>RADIO_FLAG_RECEIVING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/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6" t="s">
        <v>14</v>
      </c>
      <c r="D10" s="43" t="s">
        <v>15</v>
      </c>
      <c r="E10" s="21"/>
      <c r="F10" s="22"/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9" t="s">
        <v>113</v>
      </c>
      <c r="D11" s="29"/>
      <c r="E11" s="21"/>
      <c r="F11" s="55" t="s">
        <v>221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48" t="s">
        <v>213</v>
      </c>
      <c r="D12" s="49" t="s">
        <v>92</v>
      </c>
      <c r="E12" s="52" t="s">
        <v>91</v>
      </c>
      <c r="F12" s="54" t="s">
        <v>221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58" t="s">
        <v>212</v>
      </c>
      <c r="D13" s="59" t="s">
        <v>92</v>
      </c>
      <c r="E13" s="60" t="s">
        <v>91</v>
      </c>
      <c r="F13" s="61" t="s">
        <v>221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9" t="s">
        <v>164</v>
      </c>
      <c r="D14" s="70">
        <v>4</v>
      </c>
      <c r="E14" s="21"/>
      <c r="F14" s="71" t="s">
        <v>221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63" t="s">
        <v>159</v>
      </c>
      <c r="D15" s="64">
        <v>4</v>
      </c>
      <c r="E15" s="21"/>
      <c r="F15" s="65" t="s">
        <v>221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33" t="s">
        <v>21</v>
      </c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33" t="s">
        <v>231</v>
      </c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33" t="s">
        <v>232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33" t="s">
        <v>204</v>
      </c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7" t="s">
        <v>166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7" t="s">
        <v>61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6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7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6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6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6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0" x14ac:dyDescent="0.25">
      <c r="C33" t="str">
        <f>LoRa_Send_Header!C33</f>
        <v>SyncWord</v>
      </c>
      <c r="D33" s="66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0" x14ac:dyDescent="0.25">
      <c r="C34" t="str">
        <f>LoRa_Send_Header!C34</f>
        <v>CRC</v>
      </c>
      <c r="D34" s="66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62" t="s">
        <v>91</v>
      </c>
      <c r="J34">
        <f>LoRa_Send_Header!J34</f>
        <v>0</v>
      </c>
    </row>
    <row r="35" spans="3:10" x14ac:dyDescent="0.25">
      <c r="C35" t="str">
        <f>LoRa_Send_Header!C35</f>
        <v>IQInverted</v>
      </c>
      <c r="D35" s="66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0" x14ac:dyDescent="0.25">
      <c r="C36" t="str">
        <f>LoRa_Send_Header!C36</f>
        <v>HopPeriod</v>
      </c>
      <c r="D36" s="66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0" x14ac:dyDescent="0.25">
      <c r="C37" t="str">
        <f>LoRa_Send_Header!C37</f>
        <v>errorCodingRate</v>
      </c>
      <c r="D37" s="66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0" x14ac:dyDescent="0.25">
      <c r="C38" t="str">
        <f>LoRa_Send_Header!C38</f>
        <v>implicitHeaderMode</v>
      </c>
      <c r="D38" s="66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62" t="s">
        <v>74</v>
      </c>
      <c r="J38">
        <f>LoRa_Send_Header!J38</f>
        <v>0</v>
      </c>
    </row>
    <row r="39" spans="3:10" x14ac:dyDescent="0.25">
      <c r="C39" t="str">
        <f>LoRa_Send_Header!C39</f>
        <v>preambleLen</v>
      </c>
      <c r="D39" s="66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0" x14ac:dyDescent="0.25">
      <c r="C40" t="str">
        <f>LoRa_Send_Header!C40</f>
        <v>symbolTimeout</v>
      </c>
      <c r="D40" s="66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0" x14ac:dyDescent="0.25">
      <c r="C41" t="str">
        <f>LoRa_Send_Header!C41</f>
        <v>FSKfreqDeviation</v>
      </c>
      <c r="D41" s="66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62" t="s">
        <v>215</v>
      </c>
      <c r="J41">
        <f>LoRa_Send_Header!J41</f>
        <v>0</v>
      </c>
    </row>
    <row r="42" spans="3:10" x14ac:dyDescent="0.25">
      <c r="C42" t="str">
        <f>LoRa_Send_Header!C42</f>
        <v>FSKBitRate</v>
      </c>
      <c r="D42" s="66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62" t="s">
        <v>233</v>
      </c>
      <c r="J42">
        <f>LoRa_Send_Header!J42</f>
        <v>0</v>
      </c>
    </row>
    <row r="43" spans="3:10" x14ac:dyDescent="0.25">
      <c r="C43" t="str">
        <f>LoRa_Send_Header!C43</f>
        <v>FSK_PREAMBLE</v>
      </c>
      <c r="D43" s="66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62" t="s">
        <v>234</v>
      </c>
      <c r="J43">
        <f>LoRa_Send_Header!J43</f>
        <v>0</v>
      </c>
    </row>
    <row r="44" spans="3:10" x14ac:dyDescent="0.25">
      <c r="C44" t="str">
        <f>LoRa_Send_Header!C44</f>
        <v>fskDataShaping</v>
      </c>
      <c r="D44" s="66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0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99</v>
      </c>
      <c r="J45">
        <f>LoRa_Send_Header!J45</f>
        <v>0</v>
      </c>
    </row>
    <row r="46" spans="3:10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0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8" t="s">
        <v>165</v>
      </c>
      <c r="J47">
        <f>LoRa_Send_Header!J47</f>
        <v>0</v>
      </c>
    </row>
    <row r="48" spans="3:10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62" t="s">
        <v>99</v>
      </c>
      <c r="J48">
        <f>LoRa_Send_Header!J48</f>
        <v>0</v>
      </c>
    </row>
    <row r="49" spans="3:10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41</v>
      </c>
      <c r="J49">
        <f>LoRa_Send_Header!J49</f>
        <v>0</v>
      </c>
    </row>
    <row r="50" spans="3:10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3:10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3:10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0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0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0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0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0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8" t="str">
        <f>I58</f>
        <v>WATCHDOG_DEFAULT_TIME</v>
      </c>
      <c r="J57" t="str">
        <f>LoRa_Send_Header!J57</f>
        <v>RADIO_WatchdogTimeout</v>
      </c>
    </row>
    <row r="58" spans="3:10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0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0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0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0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0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0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C20" location="LoRa_RxDone!C1" display="LoRa_RxDone" xr:uid="{38EA563F-7235-4607-B8A2-C72D8ADB3BA4}"/>
    <hyperlink ref="C21" location="LoRa_TimerHandshakingCallback!C1" display="LoRa_TimerHandshaking_timeout" xr:uid="{31987346-5619-4079-8271-D3804E82D86E}"/>
    <hyperlink ref="C22" location="RADIO_WatchdogTimeout!C1" display="watchdogTimerId_timeout" xr:uid="{CB02A574-0F5F-471D-9DD0-596117AC325F}"/>
    <hyperlink ref="C23" location="timeOnAirTimerId!C1" display="timeOnAirTimerId" xr:uid="{1281CD14-70EA-4C4D-99DB-437A45C5750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12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12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71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12" t="s">
        <v>71</v>
      </c>
      <c r="J8" t="e">
        <f>#REF!</f>
        <v>#REF!</v>
      </c>
    </row>
    <row r="9" spans="2:10" x14ac:dyDescent="0.25">
      <c r="B9" s="3" t="s">
        <v>148</v>
      </c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1" t="s">
        <v>186</v>
      </c>
      <c r="J9" t="e">
        <f>#REF!</f>
        <v>#REF!</v>
      </c>
    </row>
    <row r="10" spans="2:10" x14ac:dyDescent="0.25">
      <c r="B10" s="3" t="s">
        <v>14</v>
      </c>
      <c r="C10" s="20"/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12" t="s">
        <v>71</v>
      </c>
      <c r="J10" t="e">
        <f>#REF!</f>
        <v>#REF!</v>
      </c>
    </row>
    <row r="11" spans="2:10" x14ac:dyDescent="0.25">
      <c r="B11" s="3" t="s">
        <v>169</v>
      </c>
      <c r="C11" s="20"/>
      <c r="D11" s="29"/>
      <c r="E11" s="21"/>
      <c r="F11" s="22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183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33" t="s">
        <v>185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134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71</v>
      </c>
      <c r="J47">
        <f>LoRa_Send_Header!J47</f>
        <v>0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71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71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185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7">
        <f>LoRa_TimerHandshaking!C7</f>
        <v>0</v>
      </c>
      <c r="D7" s="28">
        <f>LoRa_TimerHandshaking!D7</f>
        <v>0</v>
      </c>
      <c r="E7" s="18">
        <f>LoRa_TimerHandshaking!E7</f>
        <v>0</v>
      </c>
      <c r="F7" s="19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20">
        <f>LoRa_TimerHandshaking!C8</f>
        <v>0</v>
      </c>
      <c r="D8" s="29">
        <f>LoRa_TimerHandshaking!D8</f>
        <v>0</v>
      </c>
      <c r="E8" s="21">
        <f>LoRa_TimerHandshaking!E8</f>
        <v>0</v>
      </c>
      <c r="F8" s="22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24</v>
      </c>
      <c r="C9" s="20">
        <f>LoRa_TimerHandshaking!C9</f>
        <v>0</v>
      </c>
      <c r="D9" s="29">
        <f>LoRa_TimerHandshaking!D9</f>
        <v>0</v>
      </c>
      <c r="E9" s="21">
        <f>LoRa_TimerHandshaking!E9</f>
        <v>0</v>
      </c>
      <c r="F9" s="22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71</v>
      </c>
      <c r="J9" t="e">
        <f>LoRa_TimerHandshaking!J9</f>
        <v>#REF!</v>
      </c>
    </row>
    <row r="10" spans="2:10" x14ac:dyDescent="0.25">
      <c r="B10" t="e">
        <f>#REF!</f>
        <v>#REF!</v>
      </c>
      <c r="C10" s="20">
        <f>LoRa_TimerHandshaking!C10</f>
        <v>0</v>
      </c>
      <c r="D10" s="29">
        <f>LoRa_TimerHandshaking!D10</f>
        <v>0</v>
      </c>
      <c r="E10" s="21">
        <f>LoRa_TimerHandshaking!E10</f>
        <v>0</v>
      </c>
      <c r="F10" s="22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20">
        <f>LoRa_TimerHandshaking!C11</f>
        <v>0</v>
      </c>
      <c r="D11" s="29">
        <f>LoRa_TimerHandshaking!D11</f>
        <v>0</v>
      </c>
      <c r="E11" s="21">
        <f>LoRa_TimerHandshaking!E11</f>
        <v>0</v>
      </c>
      <c r="F11" s="22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20">
        <f>LoRa_TimerHandshaking!C12</f>
        <v>0</v>
      </c>
      <c r="D12" s="29">
        <f>LoRa_TimerHandshaking!D12</f>
        <v>0</v>
      </c>
      <c r="E12" s="21">
        <f>LoRa_TimerHandshaking!E12</f>
        <v>0</v>
      </c>
      <c r="F12" s="22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20">
        <f>LoRa_TimerHandshaking!C13</f>
        <v>0</v>
      </c>
      <c r="D13" s="29">
        <f>LoRa_TimerHandshaking!D13</f>
        <v>0</v>
      </c>
      <c r="E13" s="21">
        <f>LoRa_TimerHandshaking!E13</f>
        <v>0</v>
      </c>
      <c r="F13" s="22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20">
        <f>LoRa_TimerHandshaking!C14</f>
        <v>0</v>
      </c>
      <c r="D14" s="29">
        <f>LoRa_TimerHandshaking!D14</f>
        <v>0</v>
      </c>
      <c r="E14" s="21">
        <f>LoRa_TimerHandshaking!E14</f>
        <v>0</v>
      </c>
      <c r="F14" s="22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20">
        <f>LoRa_TimerHandshaking!C15</f>
        <v>0</v>
      </c>
      <c r="D15" s="29">
        <f>LoRa_TimerHandshaking!D15</f>
        <v>0</v>
      </c>
      <c r="E15" s="21">
        <f>LoRa_TimerHandshaking!E15</f>
        <v>0</v>
      </c>
      <c r="F15" s="22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20">
        <f>LoRa_TimerHandshaking!C16</f>
        <v>0</v>
      </c>
      <c r="D16" s="29">
        <f>LoRa_TimerHandshaking!D16</f>
        <v>0</v>
      </c>
      <c r="E16" s="21">
        <f>LoRa_TimerHandshaking!E16</f>
        <v>0</v>
      </c>
      <c r="F16" s="22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20">
        <f>LoRa_TimerHandshaking!C17</f>
        <v>0</v>
      </c>
      <c r="D17" s="29">
        <f>LoRa_TimerHandshaking!D17</f>
        <v>0</v>
      </c>
      <c r="E17" s="21">
        <f>LoRa_TimerHandshaking!E17</f>
        <v>0</v>
      </c>
      <c r="F17" s="22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20">
        <f>LoRa_TimerHandshaking!C18</f>
        <v>0</v>
      </c>
      <c r="D18" s="29">
        <f>LoRa_TimerHandshaking!D18</f>
        <v>0</v>
      </c>
      <c r="E18" s="21">
        <f>LoRa_TimerHandshaking!E18</f>
        <v>0</v>
      </c>
      <c r="F18" s="22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20">
        <f>LoRa_TimerHandshaking!C19</f>
        <v>0</v>
      </c>
      <c r="D19" s="29">
        <f>LoRa_TimerHandshaking!D19</f>
        <v>0</v>
      </c>
      <c r="E19" s="21">
        <f>LoRa_TimerHandshaking!E19</f>
        <v>0</v>
      </c>
      <c r="F19" s="22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20">
        <f>LoRa_TimerHandshaking!C20</f>
        <v>0</v>
      </c>
      <c r="D20" s="29">
        <f>LoRa_TimerHandshaking!D20</f>
        <v>0</v>
      </c>
      <c r="E20" s="21">
        <f>LoRa_TimerHandshaking!E20</f>
        <v>0</v>
      </c>
      <c r="F20" s="22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20">
        <f>LoRa_TimerHandshaking!C21</f>
        <v>0</v>
      </c>
      <c r="D21" s="29">
        <f>LoRa_TimerHandshaking!D21</f>
        <v>0</v>
      </c>
      <c r="E21" s="21">
        <f>LoRa_TimerHandshaking!E21</f>
        <v>0</v>
      </c>
      <c r="F21" s="22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20" t="s">
        <v>187</v>
      </c>
      <c r="D22" s="29">
        <f>LoRa_TimerHandshaking!D22</f>
        <v>0</v>
      </c>
      <c r="E22" s="21">
        <f>LoRa_TimerHandshaking!E22</f>
        <v>0</v>
      </c>
      <c r="F22" s="22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20">
        <f>LoRa_TimerHandshaking!C23</f>
        <v>0</v>
      </c>
      <c r="D23" s="29">
        <f>LoRa_TimerHandshaking!D23</f>
        <v>0</v>
      </c>
      <c r="E23" s="21">
        <f>LoRa_TimerHandshaking!E23</f>
        <v>0</v>
      </c>
      <c r="F23" s="22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5">
        <f>LoRa_TimerHandshaking!C24</f>
        <v>0</v>
      </c>
      <c r="D24" s="30">
        <f>LoRa_TimerHandshaking!D24</f>
        <v>0</v>
      </c>
      <c r="E24" s="26">
        <f>LoRa_TimerHandshaking!E24</f>
        <v>0</v>
      </c>
      <c r="F24" s="27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 t="e">
        <f>#REF!</f>
        <v>#REF!</v>
      </c>
      <c r="C3" t="str">
        <f>LoRa_TxDone!C3</f>
        <v>LoRa_transmitStatus</v>
      </c>
      <c r="D3" s="2" t="str">
        <f>LoRa_TxDone!D3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B4" t="e">
        <f>#REF!</f>
        <v>#REF!</v>
      </c>
      <c r="C4" t="str">
        <f>LoRa_TxDone!C4</f>
        <v>LoRa_StatusDanych</v>
      </c>
      <c r="D4" s="2" t="str">
        <f>LoRa_TxDone!D4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B5" t="e">
        <f>#REF!</f>
        <v>#REF!</v>
      </c>
      <c r="C5" t="str">
        <f>LoRa_TxDone!C5</f>
        <v>flags</v>
      </c>
      <c r="D5" s="2" t="str">
        <f>I47</f>
        <v>0</v>
      </c>
      <c r="E5"/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B6" t="e">
        <f>#REF!</f>
        <v>#REF!</v>
      </c>
      <c r="C6">
        <f>LoRa_TxDone!C6</f>
        <v>0</v>
      </c>
      <c r="D6" s="2">
        <f>LoRa_TxDone!D6</f>
        <v>0</v>
      </c>
      <c r="E6">
        <f>J47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B7" t="e">
        <f>#REF!</f>
        <v>#REF!</v>
      </c>
      <c r="C7" s="31"/>
      <c r="D7" s="28"/>
      <c r="E7" s="18"/>
      <c r="F7" s="19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B8" t="e">
        <f>#REF!</f>
        <v>#REF!</v>
      </c>
      <c r="C8" s="23" t="s">
        <v>21</v>
      </c>
      <c r="D8" s="29" t="s">
        <v>8</v>
      </c>
      <c r="E8" s="21" t="s">
        <v>9</v>
      </c>
      <c r="F8" s="22" t="s">
        <v>171</v>
      </c>
      <c r="G8" t="str">
        <f>LoRa_TxDone!G8</f>
        <v>uint8_t</v>
      </c>
      <c r="H8" t="str">
        <f>LoRa_TxDone!H8</f>
        <v>LoRa_TimerHandshaking</v>
      </c>
      <c r="I8" s="13" t="s">
        <v>71</v>
      </c>
      <c r="J8" t="str">
        <f>LoRa_TxDone!J8</f>
        <v>LoRa_TimerHandshakingCallback</v>
      </c>
    </row>
    <row r="9" spans="2:10" x14ac:dyDescent="0.25">
      <c r="B9" s="3" t="s">
        <v>14</v>
      </c>
      <c r="C9" s="20"/>
      <c r="D9" s="29"/>
      <c r="E9" s="21"/>
      <c r="F9" s="22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LoRa_TxDone!G10</f>
        <v>uint8_t</v>
      </c>
      <c r="H10" t="str">
        <f>LoRa_TxDone!H10</f>
        <v>LoRa_TimerWaitAck</v>
      </c>
      <c r="I10" s="13" t="s">
        <v>71</v>
      </c>
      <c r="J10" t="str">
        <f>LoRa_TxDone!J10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2:10" x14ac:dyDescent="0.25">
      <c r="B22" t="e">
        <f>#REF!</f>
        <v>#REF!</v>
      </c>
      <c r="C22" s="33" t="s">
        <v>169</v>
      </c>
      <c r="D22" s="29" t="s">
        <v>8</v>
      </c>
      <c r="E22" s="21" t="s">
        <v>9</v>
      </c>
      <c r="F22" s="22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2:10" x14ac:dyDescent="0.25">
      <c r="B23" t="e">
        <f>#REF!</f>
        <v>#REF!</v>
      </c>
      <c r="C23" s="34" t="s">
        <v>170</v>
      </c>
      <c r="D23" s="29">
        <f>J47</f>
        <v>0</v>
      </c>
      <c r="E23" s="21"/>
      <c r="F23" s="22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2:10" x14ac:dyDescent="0.25">
      <c r="B25" t="e">
        <f>#REF!</f>
        <v>#REF!</v>
      </c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2:10" x14ac:dyDescent="0.25">
      <c r="B26" t="e">
        <f>#REF!</f>
        <v>#REF!</v>
      </c>
      <c r="C26" t="str">
        <f>LoRa_TxDone!C26</f>
        <v>mode</v>
      </c>
      <c r="D26" s="6" t="s">
        <v>134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2:10" x14ac:dyDescent="0.25">
      <c r="B27" t="e">
        <f>#REF!</f>
        <v>#REF!</v>
      </c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2:10" x14ac:dyDescent="0.25">
      <c r="B28" t="e">
        <f>#REF!</f>
        <v>#REF!</v>
      </c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2:10" x14ac:dyDescent="0.25">
      <c r="B29" t="e">
        <f>#REF!</f>
        <v>#REF!</v>
      </c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2:10" x14ac:dyDescent="0.25">
      <c r="B30" t="e">
        <f>#REF!</f>
        <v>#REF!</v>
      </c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2:10" x14ac:dyDescent="0.25">
      <c r="B31" t="e">
        <f>#REF!</f>
        <v>#REF!</v>
      </c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2:10" x14ac:dyDescent="0.25">
      <c r="B32" t="e">
        <f>#REF!</f>
        <v>#REF!</v>
      </c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2:10" x14ac:dyDescent="0.25">
      <c r="B33" t="e">
        <f>#REF!</f>
        <v>#REF!</v>
      </c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2:10" x14ac:dyDescent="0.25">
      <c r="B34" t="e">
        <f>#REF!</f>
        <v>#REF!</v>
      </c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2:10" x14ac:dyDescent="0.25">
      <c r="B35" t="e">
        <f>#REF!</f>
        <v>#REF!</v>
      </c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2:10" x14ac:dyDescent="0.25">
      <c r="B36" t="e">
        <f>#REF!</f>
        <v>#REF!</v>
      </c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2:10" x14ac:dyDescent="0.25">
      <c r="B37" t="e">
        <f>#REF!</f>
        <v>#REF!</v>
      </c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2:10" x14ac:dyDescent="0.25">
      <c r="B38" t="e">
        <f>#REF!</f>
        <v>#REF!</v>
      </c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2:10" x14ac:dyDescent="0.25">
      <c r="B39" t="e">
        <f>#REF!</f>
        <v>#REF!</v>
      </c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2:10" x14ac:dyDescent="0.25">
      <c r="B40" t="e">
        <f>#REF!</f>
        <v>#REF!</v>
      </c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2:10" x14ac:dyDescent="0.25">
      <c r="B41" t="e">
        <f>#REF!</f>
        <v>#REF!</v>
      </c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2:10" x14ac:dyDescent="0.25">
      <c r="B42" t="e">
        <f>#REF!</f>
        <v>#REF!</v>
      </c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2:10" x14ac:dyDescent="0.25">
      <c r="B43" t="e">
        <f>#REF!</f>
        <v>#REF!</v>
      </c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2:10" x14ac:dyDescent="0.25">
      <c r="B44" t="e">
        <f>#REF!</f>
        <v>#REF!</v>
      </c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2:10" x14ac:dyDescent="0.25">
      <c r="B45" t="e">
        <f>#REF!</f>
        <v>#REF!</v>
      </c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2:10" x14ac:dyDescent="0.25">
      <c r="B46" t="e">
        <f>#REF!</f>
        <v>#REF!</v>
      </c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2:10" x14ac:dyDescent="0.25">
      <c r="B47" t="e">
        <f>#REF!</f>
        <v>#REF!</v>
      </c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13" t="s">
        <v>71</v>
      </c>
      <c r="J47" s="5"/>
    </row>
    <row r="48" spans="2:10" x14ac:dyDescent="0.25">
      <c r="B48" t="e">
        <f>#REF!</f>
        <v>#REF!</v>
      </c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2:10" x14ac:dyDescent="0.25">
      <c r="B49" t="e">
        <f>#REF!</f>
        <v>#REF!</v>
      </c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2:10" x14ac:dyDescent="0.25">
      <c r="B50" t="e">
        <f>#REF!</f>
        <v>#REF!</v>
      </c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2:10" x14ac:dyDescent="0.25">
      <c r="B51" t="e">
        <f>#REF!</f>
        <v>#REF!</v>
      </c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2:10" x14ac:dyDescent="0.25">
      <c r="B52" t="e">
        <f>#REF!</f>
        <v>#REF!</v>
      </c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</row>
    <row r="53" spans="2:10" x14ac:dyDescent="0.25">
      <c r="B53" t="e">
        <f>#REF!</f>
        <v>#REF!</v>
      </c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167</v>
      </c>
      <c r="J53">
        <f>LoRa_TxDone!J53</f>
        <v>0</v>
      </c>
    </row>
    <row r="54" spans="2:10" x14ac:dyDescent="0.25">
      <c r="B54" t="e">
        <f>#REF!</f>
        <v>#REF!</v>
      </c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tr">
        <f>LoRa_TxDone!I54</f>
        <v>LoRa_radioBuffer</v>
      </c>
      <c r="J54">
        <f>LoRa_TxDone!J54</f>
        <v>0</v>
      </c>
    </row>
    <row r="55" spans="2:10" x14ac:dyDescent="0.25">
      <c r="B55" t="e">
        <f>#REF!</f>
        <v>#REF!</v>
      </c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2:10" x14ac:dyDescent="0.25">
      <c r="B56" t="e">
        <f>#REF!</f>
        <v>#REF!</v>
      </c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2:10" x14ac:dyDescent="0.25">
      <c r="B57" t="e">
        <f>#REF!</f>
        <v>#REF!</v>
      </c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71</v>
      </c>
      <c r="J57" t="str">
        <f>LoRa_TxDone!J57</f>
        <v>RADIO_WatchdogTimeout</v>
      </c>
    </row>
    <row r="58" spans="2:10" x14ac:dyDescent="0.25">
      <c r="B58" t="e">
        <f>#REF!</f>
        <v>#REF!</v>
      </c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2:10" x14ac:dyDescent="0.25">
      <c r="B59" t="e">
        <f>#REF!</f>
        <v>#REF!</v>
      </c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2:10" x14ac:dyDescent="0.25">
      <c r="B60" t="e">
        <f>#REF!</f>
        <v>#REF!</v>
      </c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2:10" x14ac:dyDescent="0.25">
      <c r="B61" t="e">
        <f>#REF!</f>
        <v>#REF!</v>
      </c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2:10" x14ac:dyDescent="0.25">
      <c r="B62" t="e">
        <f>#REF!</f>
        <v>#REF!</v>
      </c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168</v>
      </c>
      <c r="J62">
        <f>LoRa_TxDone!J62</f>
        <v>0</v>
      </c>
    </row>
    <row r="63" spans="2:10" x14ac:dyDescent="0.25">
      <c r="B63" t="e">
        <f>#REF!</f>
        <v>#REF!</v>
      </c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2:10" x14ac:dyDescent="0.25">
      <c r="B64" t="e">
        <f>#REF!</f>
        <v>#REF!</v>
      </c>
      <c r="C64" t="e">
        <f>LoRa_TxDone!#REF!</f>
        <v>#REF!</v>
      </c>
      <c r="D64" s="2" t="e">
        <f>LoRa_TxDone!#REF!</f>
        <v>#REF!</v>
      </c>
      <c r="E64" t="e">
        <f>LoRa_TxDone!#REF!</f>
        <v>#REF!</v>
      </c>
      <c r="F64" t="e">
        <f>LoRa_TxDone!#REF!</f>
        <v>#REF!</v>
      </c>
      <c r="G64" t="e">
        <f>LoRa_TxDone!#REF!</f>
        <v>#REF!</v>
      </c>
      <c r="H64" t="e">
        <f>LoRa_TxDone!#REF!</f>
        <v>#REF!</v>
      </c>
      <c r="I64" s="2" t="e">
        <f>LoRa_TxDone!#REF!</f>
        <v>#REF!</v>
      </c>
      <c r="J64" t="e">
        <f>LoRa_TxDone!#REF!</f>
        <v>#REF!</v>
      </c>
    </row>
    <row r="65" spans="2:10" x14ac:dyDescent="0.25">
      <c r="B65" t="e">
        <f>#REF!</f>
        <v>#REF!</v>
      </c>
      <c r="C65" t="e">
        <f>LoRa_TxDone!#REF!</f>
        <v>#REF!</v>
      </c>
      <c r="D65" s="2" t="e">
        <f>LoRa_TxDone!#REF!</f>
        <v>#REF!</v>
      </c>
      <c r="E65" t="e">
        <f>LoRa_TxDone!#REF!</f>
        <v>#REF!</v>
      </c>
      <c r="F65" t="e">
        <f>LoRa_TxDone!#REF!</f>
        <v>#REF!</v>
      </c>
      <c r="G65" t="e">
        <f>LoRa_TxDone!#REF!</f>
        <v>#REF!</v>
      </c>
      <c r="H65" t="e">
        <f>LoRa_TxDone!#REF!</f>
        <v>#REF!</v>
      </c>
      <c r="I65" s="2" t="e">
        <f>LoRa_TxDone!#REF!</f>
        <v>#REF!</v>
      </c>
      <c r="J65" t="e">
        <f>LoRa_TxDone!#REF!</f>
        <v>#REF!</v>
      </c>
    </row>
    <row r="66" spans="2:10" x14ac:dyDescent="0.25">
      <c r="B66" t="e">
        <f>#REF!</f>
        <v>#REF!</v>
      </c>
      <c r="C66" t="e">
        <f>LoRa_TxDone!#REF!</f>
        <v>#REF!</v>
      </c>
      <c r="D66" s="2" t="e">
        <f>LoRa_TxDone!#REF!</f>
        <v>#REF!</v>
      </c>
      <c r="E66" t="e">
        <f>LoRa_TxDone!#REF!</f>
        <v>#REF!</v>
      </c>
      <c r="F66" t="e">
        <f>LoRa_TxDone!#REF!</f>
        <v>#REF!</v>
      </c>
      <c r="G66" t="e">
        <f>LoRa_TxDone!#REF!</f>
        <v>#REF!</v>
      </c>
      <c r="H66" t="e">
        <f>LoRa_TxDone!#REF!</f>
        <v>#REF!</v>
      </c>
      <c r="I66" s="2" t="e">
        <f>LoRa_TxDone!#REF!</f>
        <v>#REF!</v>
      </c>
      <c r="J66" t="e">
        <f>LoRa_TxDone!#REF!</f>
        <v>#REF!</v>
      </c>
    </row>
    <row r="67" spans="2:10" x14ac:dyDescent="0.25">
      <c r="B67" t="e">
        <f>#REF!</f>
        <v>#REF!</v>
      </c>
      <c r="C67" t="e">
        <f>LoRa_TxDone!#REF!</f>
        <v>#REF!</v>
      </c>
      <c r="D67" s="2" t="e">
        <f>LoRa_TxDone!#REF!</f>
        <v>#REF!</v>
      </c>
      <c r="E67" t="e">
        <f>LoRa_TxDone!#REF!</f>
        <v>#REF!</v>
      </c>
      <c r="F67" t="e">
        <f>LoRa_TxDone!#REF!</f>
        <v>#REF!</v>
      </c>
      <c r="G67" t="e">
        <f>LoRa_TxDone!#REF!</f>
        <v>#REF!</v>
      </c>
      <c r="H67" t="e">
        <f>LoRa_TxDone!#REF!</f>
        <v>#REF!</v>
      </c>
      <c r="I67" s="2" t="e">
        <f>LoRa_TxDone!#REF!</f>
        <v>#REF!</v>
      </c>
      <c r="J67" t="e">
        <f>LoRa_TxDone!#REF!</f>
        <v>#REF!</v>
      </c>
    </row>
    <row r="68" spans="2:10" x14ac:dyDescent="0.25">
      <c r="B68" t="e">
        <f>#REF!</f>
        <v>#REF!</v>
      </c>
      <c r="C68" t="e">
        <f>LoRa_TxDone!#REF!</f>
        <v>#REF!</v>
      </c>
      <c r="D68" s="2" t="e">
        <f>LoRa_TxDone!#REF!</f>
        <v>#REF!</v>
      </c>
      <c r="E68" t="e">
        <f>LoRa_TxDone!#REF!</f>
        <v>#REF!</v>
      </c>
      <c r="F68" t="e">
        <f>LoRa_TxDone!#REF!</f>
        <v>#REF!</v>
      </c>
      <c r="G68" t="e">
        <f>LoRa_TxDone!#REF!</f>
        <v>#REF!</v>
      </c>
      <c r="H68" t="e">
        <f>LoRa_TxDone!#REF!</f>
        <v>#REF!</v>
      </c>
      <c r="I68" s="2" t="e">
        <f>LoRa_TxDone!#REF!</f>
        <v>#REF!</v>
      </c>
      <c r="J68" t="e">
        <f>LoRa_TxDone!#REF!</f>
        <v>#REF!</v>
      </c>
    </row>
    <row r="69" spans="2:10" x14ac:dyDescent="0.25">
      <c r="B69" t="e">
        <f>#REF!</f>
        <v>#REF!</v>
      </c>
      <c r="C69" t="e">
        <f>LoRa_TxDone!#REF!</f>
        <v>#REF!</v>
      </c>
      <c r="D69" s="2" t="e">
        <f>LoRa_TxDone!#REF!</f>
        <v>#REF!</v>
      </c>
      <c r="E69" t="e">
        <f>LoRa_TxDone!#REF!</f>
        <v>#REF!</v>
      </c>
      <c r="F69" t="e">
        <f>LoRa_TxDone!#REF!</f>
        <v>#REF!</v>
      </c>
      <c r="G69" t="e">
        <f>LoRa_TxDone!#REF!</f>
        <v>#REF!</v>
      </c>
      <c r="H69" t="e">
        <f>LoRa_TxDone!#REF!</f>
        <v>#REF!</v>
      </c>
      <c r="I69" s="2" t="e">
        <f>LoRa_TxDone!#REF!</f>
        <v>#REF!</v>
      </c>
      <c r="J69" t="e">
        <f>LoRa_TxDone!#REF!</f>
        <v>#REF!</v>
      </c>
    </row>
    <row r="70" spans="2:10" x14ac:dyDescent="0.25">
      <c r="B70" t="e">
        <f>#REF!</f>
        <v>#REF!</v>
      </c>
      <c r="C70" t="e">
        <f>LoRa_TxDone!#REF!</f>
        <v>#REF!</v>
      </c>
      <c r="D70" s="2" t="e">
        <f>LoRa_TxDone!#REF!</f>
        <v>#REF!</v>
      </c>
      <c r="E70" t="e">
        <f>LoRa_TxDone!#REF!</f>
        <v>#REF!</v>
      </c>
      <c r="F70" t="e">
        <f>LoRa_TxDone!#REF!</f>
        <v>#REF!</v>
      </c>
      <c r="G70" t="e">
        <f>LoRa_TxDone!#REF!</f>
        <v>#REF!</v>
      </c>
      <c r="H70" t="e">
        <f>LoRa_TxDone!#REF!</f>
        <v>#REF!</v>
      </c>
      <c r="I70" s="2" t="e">
        <f>LoRa_TxDone!#REF!</f>
        <v>#REF!</v>
      </c>
      <c r="J70" t="e">
        <f>LoRa_TxDone!#REF!</f>
        <v>#REF!</v>
      </c>
    </row>
    <row r="71" spans="2:10" x14ac:dyDescent="0.25">
      <c r="B71" t="e">
        <f>#REF!</f>
        <v>#REF!</v>
      </c>
      <c r="C71" t="e">
        <f>LoRa_TxDone!#REF!</f>
        <v>#REF!</v>
      </c>
      <c r="D71" s="2" t="e">
        <f>LoRa_TxDone!#REF!</f>
        <v>#REF!</v>
      </c>
      <c r="E71" t="e">
        <f>LoRa_TxDone!#REF!</f>
        <v>#REF!</v>
      </c>
      <c r="F71" t="e">
        <f>LoRa_TxDone!#REF!</f>
        <v>#REF!</v>
      </c>
      <c r="G71" t="e">
        <f>LoRa_TxDone!#REF!</f>
        <v>#REF!</v>
      </c>
      <c r="H71" t="e">
        <f>LoRa_TxDone!#REF!</f>
        <v>#REF!</v>
      </c>
      <c r="I71" s="2" t="e">
        <f>LoRa_TxDone!#REF!</f>
        <v>#REF!</v>
      </c>
      <c r="J71" t="e">
        <f>LoRa_TxDone!#REF!</f>
        <v>#REF!</v>
      </c>
    </row>
    <row r="72" spans="2:10" x14ac:dyDescent="0.25">
      <c r="B72" t="e">
        <f>#REF!</f>
        <v>#REF!</v>
      </c>
      <c r="C72" t="e">
        <f>LoRa_TxDone!#REF!</f>
        <v>#REF!</v>
      </c>
      <c r="D72" s="2" t="e">
        <f>LoRa_TxDone!#REF!</f>
        <v>#REF!</v>
      </c>
      <c r="E72" t="e">
        <f>LoRa_TxDone!#REF!</f>
        <v>#REF!</v>
      </c>
      <c r="F72" t="e">
        <f>LoRa_TxDone!#REF!</f>
        <v>#REF!</v>
      </c>
      <c r="G72" t="e">
        <f>LoRa_TxDone!#REF!</f>
        <v>#REF!</v>
      </c>
      <c r="H72" t="e">
        <f>LoRa_TxDone!#REF!</f>
        <v>#REF!</v>
      </c>
      <c r="I72" s="2" t="e">
        <f>LoRa_TxDone!#REF!</f>
        <v>#REF!</v>
      </c>
      <c r="J72" t="e">
        <f>LoRa_TxDone!#REF!</f>
        <v>#REF!</v>
      </c>
    </row>
    <row r="73" spans="2:10" x14ac:dyDescent="0.25">
      <c r="B73" t="e">
        <f>#REF!</f>
        <v>#REF!</v>
      </c>
      <c r="C73" t="e">
        <f>LoRa_TxDone!#REF!</f>
        <v>#REF!</v>
      </c>
      <c r="D73" s="2" t="e">
        <f>LoRa_TxDone!#REF!</f>
        <v>#REF!</v>
      </c>
      <c r="E73" t="e">
        <f>LoRa_TxDone!#REF!</f>
        <v>#REF!</v>
      </c>
      <c r="F73" t="e">
        <f>LoRa_TxDone!#REF!</f>
        <v>#REF!</v>
      </c>
      <c r="G73" t="e">
        <f>LoRa_TxDone!#REF!</f>
        <v>#REF!</v>
      </c>
      <c r="H73" t="e">
        <f>LoRa_TxDone!#REF!</f>
        <v>#REF!</v>
      </c>
      <c r="I73" s="2" t="e">
        <f>LoRa_TxDone!#REF!</f>
        <v>#REF!</v>
      </c>
      <c r="J73" t="e">
        <f>LoRa_TxDone!#REF!</f>
        <v>#REF!</v>
      </c>
    </row>
    <row r="74" spans="2:10" x14ac:dyDescent="0.25">
      <c r="B74" t="e">
        <f>#REF!</f>
        <v>#REF!</v>
      </c>
      <c r="C74" t="e">
        <f>LoRa_TxDone!#REF!</f>
        <v>#REF!</v>
      </c>
      <c r="D74" s="2" t="e">
        <f>LoRa_TxDone!#REF!</f>
        <v>#REF!</v>
      </c>
      <c r="E74" t="e">
        <f>LoRa_TxDone!#REF!</f>
        <v>#REF!</v>
      </c>
      <c r="F74" t="e">
        <f>LoRa_TxDone!#REF!</f>
        <v>#REF!</v>
      </c>
      <c r="G74" t="e">
        <f>LoRa_TxDone!#REF!</f>
        <v>#REF!</v>
      </c>
      <c r="H74" t="e">
        <f>LoRa_TxDone!#REF!</f>
        <v>#REF!</v>
      </c>
      <c r="I74" s="2" t="e">
        <f>LoRa_TxDone!#REF!</f>
        <v>#REF!</v>
      </c>
      <c r="J74" t="e">
        <f>LoRa_TxDone!#REF!</f>
        <v>#REF!</v>
      </c>
    </row>
    <row r="75" spans="2:10" x14ac:dyDescent="0.25">
      <c r="B75" t="e">
        <f>#REF!</f>
        <v>#REF!</v>
      </c>
      <c r="C75" t="e">
        <f>LoRa_TxDone!#REF!</f>
        <v>#REF!</v>
      </c>
      <c r="D75" s="2" t="e">
        <f>LoRa_TxDone!#REF!</f>
        <v>#REF!</v>
      </c>
      <c r="E75" t="e">
        <f>LoRa_TxDone!#REF!</f>
        <v>#REF!</v>
      </c>
      <c r="F75" t="e">
        <f>LoRa_TxDone!#REF!</f>
        <v>#REF!</v>
      </c>
      <c r="G75" t="e">
        <f>LoRa_TxDone!#REF!</f>
        <v>#REF!</v>
      </c>
      <c r="H75" t="e">
        <f>LoRa_TxDone!#REF!</f>
        <v>#REF!</v>
      </c>
      <c r="I75" s="2" t="e">
        <f>LoRa_TxDone!#REF!</f>
        <v>#REF!</v>
      </c>
      <c r="J75" t="e">
        <f>LoRa_TxDone!#REF!</f>
        <v>#REF!</v>
      </c>
    </row>
    <row r="76" spans="2:10" x14ac:dyDescent="0.25">
      <c r="B76" t="e">
        <f>#REF!</f>
        <v>#REF!</v>
      </c>
      <c r="C76" t="e">
        <f>LoRa_TxDone!#REF!</f>
        <v>#REF!</v>
      </c>
      <c r="D76" s="2" t="e">
        <f>LoRa_TxDone!#REF!</f>
        <v>#REF!</v>
      </c>
      <c r="E76" t="e">
        <f>LoRa_TxDone!#REF!</f>
        <v>#REF!</v>
      </c>
      <c r="F76" t="e">
        <f>LoRa_TxDone!#REF!</f>
        <v>#REF!</v>
      </c>
      <c r="G76" t="e">
        <f>LoRa_TxDone!#REF!</f>
        <v>#REF!</v>
      </c>
      <c r="H76" t="e">
        <f>LoRa_TxDone!#REF!</f>
        <v>#REF!</v>
      </c>
      <c r="I76" s="2" t="e">
        <f>LoRa_TxDone!#REF!</f>
        <v>#REF!</v>
      </c>
      <c r="J76" t="e">
        <f>LoRa_TxDone!#REF!</f>
        <v>#REF!</v>
      </c>
    </row>
    <row r="77" spans="2:10" x14ac:dyDescent="0.25">
      <c r="B77" t="e">
        <f>#REF!</f>
        <v>#REF!</v>
      </c>
      <c r="C77" t="e">
        <f>LoRa_TxDone!#REF!</f>
        <v>#REF!</v>
      </c>
      <c r="D77" s="2" t="e">
        <f>LoRa_TxDone!#REF!</f>
        <v>#REF!</v>
      </c>
      <c r="E77" t="e">
        <f>LoRa_TxDone!#REF!</f>
        <v>#REF!</v>
      </c>
      <c r="F77" t="e">
        <f>LoRa_TxDone!#REF!</f>
        <v>#REF!</v>
      </c>
      <c r="G77" t="e">
        <f>LoRa_TxDone!#REF!</f>
        <v>#REF!</v>
      </c>
      <c r="H77" t="e">
        <f>LoRa_TxDone!#REF!</f>
        <v>#REF!</v>
      </c>
      <c r="I77" s="2" t="e">
        <f>LoRa_TxDone!#REF!</f>
        <v>#REF!</v>
      </c>
      <c r="J77" t="e">
        <f>LoRa_TxDone!#REF!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LoRa_TxDone!C1" display="LoRa_TxDone" xr:uid="{31D92A3E-65EA-4796-A27A-F611CA5D7333}"/>
    <hyperlink ref="C23" location="LoRa_RxDone_Fail!C1" display="LoRa_RxDone_Fail" xr:uid="{86A4D7CA-4AFC-49D0-96DE-6296433511C9}"/>
    <hyperlink ref="C22" location="LoRa_RxDone_OK!C1" display="LoRa_RxDone_OK" xr:uid="{FF9C85BB-3BBD-4DAE-9DE6-606593DE6EC2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169</v>
      </c>
      <c r="D1" s="2" t="s">
        <v>114</v>
      </c>
      <c r="E1" s="2" t="s">
        <v>115</v>
      </c>
      <c r="I1" s="2" t="s">
        <v>3</v>
      </c>
    </row>
    <row r="3" spans="2:10" x14ac:dyDescent="0.25">
      <c r="B3" t="e">
        <f>#REF!</f>
        <v>#REF!</v>
      </c>
      <c r="C3" t="str">
        <f>RADIO_RxDone!C3</f>
        <v>LoRa_transmitStatus</v>
      </c>
      <c r="D3" s="6" t="s">
        <v>35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 t="e">
        <f>#REF!</f>
        <v>#REF!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 t="e">
        <f>#REF!</f>
        <v>#REF!</v>
      </c>
      <c r="C5" t="str">
        <f>RADIO_RxDone!C5</f>
        <v>flags</v>
      </c>
      <c r="D5" s="2" t="str">
        <f>RADIO_RxDone!D5</f>
        <v>0</v>
      </c>
      <c r="E5" s="10" t="str">
        <f>I47</f>
        <v>RADIO_FLAG_TRANSMITTING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 t="e">
        <f>#REF!</f>
        <v>#REF!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 t="e">
        <f>#REF!</f>
        <v>#REF!</v>
      </c>
      <c r="C8" s="24" t="s">
        <v>97</v>
      </c>
      <c r="D8" s="29" t="s">
        <v>147</v>
      </c>
      <c r="E8" s="21" t="s">
        <v>146</v>
      </c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 t="s">
        <v>150</v>
      </c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6" t="s">
        <v>117</v>
      </c>
      <c r="J10" t="str">
        <f>RADIO_RxDone!J10</f>
        <v>LoRa_TimerWaitAckCallback</v>
      </c>
    </row>
    <row r="11" spans="2:10" x14ac:dyDescent="0.25">
      <c r="B11" t="e">
        <f>#REF!</f>
        <v>#REF!</v>
      </c>
      <c r="C11" s="23" t="s">
        <v>0</v>
      </c>
      <c r="D11" s="29" t="s">
        <v>28</v>
      </c>
      <c r="E11" s="21" t="s">
        <v>29</v>
      </c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e">
        <f>#REF!</f>
        <v>#REF!</v>
      </c>
      <c r="C12" s="20" t="s">
        <v>159</v>
      </c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6" t="s">
        <v>172</v>
      </c>
      <c r="J15">
        <f>RADIO_RxDone!J15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 t="e">
        <f>#REF!</f>
        <v>#REF!</v>
      </c>
      <c r="C20" s="33" t="s">
        <v>7</v>
      </c>
      <c r="D20" s="29" t="s">
        <v>14</v>
      </c>
      <c r="E20" s="21" t="s">
        <v>15</v>
      </c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 t="e">
        <f>#REF!</f>
        <v>#REF!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 t="e">
        <f>#REF!</f>
        <v>#REF!</v>
      </c>
      <c r="C22" s="20" t="s">
        <v>54</v>
      </c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 t="e">
        <f>#REF!</f>
        <v>#REF!</v>
      </c>
      <c r="C23" s="20" t="s">
        <v>56</v>
      </c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 t="e">
        <f>#REF!</f>
        <v>#REF!</v>
      </c>
      <c r="C25" t="str">
        <f>RADIO_RxDone!C25</f>
        <v>DATA</v>
      </c>
      <c r="D25" s="10" t="str">
        <f>H13</f>
        <v>LoRa_Bufor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e">
        <f>#REF!</f>
        <v>#REF!</v>
      </c>
      <c r="C26" t="str">
        <f>RADIO_RxDone!C26</f>
        <v>mode</v>
      </c>
      <c r="D26" s="10" t="s">
        <v>160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 t="e">
        <f>#REF!</f>
        <v>#REF!</v>
      </c>
      <c r="C27" t="str">
        <f>RADIO_RxDone!C27</f>
        <v>modulation</v>
      </c>
      <c r="D27" s="10" t="s">
        <v>100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 t="e">
        <f>#REF!</f>
        <v>#REF!</v>
      </c>
      <c r="C28" t="str">
        <f>RADIO_RxDone!C28</f>
        <v>frequency</v>
      </c>
      <c r="D28" s="10" t="s">
        <v>101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 t="e">
        <f>#REF!</f>
        <v>#REF!</v>
      </c>
      <c r="C29" t="str">
        <f>RADIO_RxDone!C29</f>
        <v>payload</v>
      </c>
      <c r="D29" s="10" t="str">
        <f>H14</f>
        <v>LoRa_BuforLength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 t="e">
        <f>#REF!</f>
        <v>#REF!</v>
      </c>
      <c r="C30" t="str">
        <f>RADIO_RxDone!C30</f>
        <v>power</v>
      </c>
      <c r="D30" s="10" t="s">
        <v>107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 t="e">
        <f>#REF!</f>
        <v>#REF!</v>
      </c>
      <c r="C31" t="str">
        <f>RADIO_RxDone!C31</f>
        <v>SpreadingFactor</v>
      </c>
      <c r="D31" s="10" t="s">
        <v>103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 t="e">
        <f>#REF!</f>
        <v>#REF!</v>
      </c>
      <c r="C32" t="str">
        <f>RADIO_RxDone!C32</f>
        <v>Bandwidth</v>
      </c>
      <c r="D32" s="10" t="s">
        <v>104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 t="e">
        <f>#REF!</f>
        <v>#REF!</v>
      </c>
      <c r="C33" t="str">
        <f>RADIO_RxDone!C33</f>
        <v>SyncWord</v>
      </c>
      <c r="D33" s="10" t="s">
        <v>74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 t="e">
        <f>#REF!</f>
        <v>#REF!</v>
      </c>
      <c r="C34" t="str">
        <f>RADIO_RxDone!C34</f>
        <v>CRC</v>
      </c>
      <c r="D34" s="10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16" t="s">
        <v>101</v>
      </c>
      <c r="J34">
        <f>RADIO_RxDone!J34</f>
        <v>0</v>
      </c>
    </row>
    <row r="35" spans="2:10" x14ac:dyDescent="0.25">
      <c r="B35" t="e">
        <f>#REF!</f>
        <v>#REF!</v>
      </c>
      <c r="C35" t="str">
        <f>RADIO_RxDone!C35</f>
        <v>IQInverted</v>
      </c>
      <c r="D35" s="10" t="s">
        <v>99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 t="e">
        <f>#REF!</f>
        <v>#REF!</v>
      </c>
      <c r="C36" t="str">
        <f>RADIO_RxDone!C36</f>
        <v>HopPeriod</v>
      </c>
      <c r="D36" s="10" t="s">
        <v>99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 t="e">
        <f>#REF!</f>
        <v>#REF!</v>
      </c>
      <c r="C37" t="str">
        <f>RADIO_RxDone!C37</f>
        <v>errorCodingRate</v>
      </c>
      <c r="D37" s="10" t="s">
        <v>63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 t="e">
        <f>#REF!</f>
        <v>#REF!</v>
      </c>
      <c r="C38" t="str">
        <f>RADIO_RxDone!C38</f>
        <v>implicitHeaderMode</v>
      </c>
      <c r="D38" s="10" t="s">
        <v>71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16" t="s">
        <v>74</v>
      </c>
      <c r="J38">
        <f>RADIO_RxDone!J38</f>
        <v>0</v>
      </c>
    </row>
    <row r="39" spans="2:10" x14ac:dyDescent="0.25">
      <c r="B39" t="e">
        <f>#REF!</f>
        <v>#REF!</v>
      </c>
      <c r="C39" t="str">
        <f>RADIO_RxDone!C39</f>
        <v>preambleLen</v>
      </c>
      <c r="D39" s="10">
        <v>4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 t="e">
        <f>#REF!</f>
        <v>#REF!</v>
      </c>
      <c r="C40" t="str">
        <f>RADIO_RxDone!C40</f>
        <v>symbolTimeout</v>
      </c>
      <c r="D40" s="10">
        <v>25000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 t="e">
        <f>#REF!</f>
        <v>#REF!</v>
      </c>
      <c r="C41" t="str">
        <f>RADIO_RxDone!C41</f>
        <v>FSKfreqDeviation</v>
      </c>
      <c r="D41" s="10">
        <v>50000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16" t="s">
        <v>100</v>
      </c>
      <c r="J41">
        <f>RADIO_RxDone!J41</f>
        <v>0</v>
      </c>
    </row>
    <row r="42" spans="2:10" x14ac:dyDescent="0.25">
      <c r="B42" t="e">
        <f>#REF!</f>
        <v>#REF!</v>
      </c>
      <c r="C42" t="str">
        <f>RADIO_RxDone!C42</f>
        <v>FSKBitRate</v>
      </c>
      <c r="D42" s="10">
        <v>8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16" t="s">
        <v>103</v>
      </c>
      <c r="J42">
        <f>RADIO_RxDone!J42</f>
        <v>0</v>
      </c>
    </row>
    <row r="43" spans="2:10" x14ac:dyDescent="0.25">
      <c r="B43" t="e">
        <f>#REF!</f>
        <v>#REF!</v>
      </c>
      <c r="C43" t="str">
        <f>RADIO_RxDone!C43</f>
        <v>FSK_PREAMBLE</v>
      </c>
      <c r="D43" s="10" t="s">
        <v>68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16" t="s">
        <v>104</v>
      </c>
      <c r="J43">
        <f>RADIO_RxDone!J43</f>
        <v>0</v>
      </c>
    </row>
    <row r="44" spans="2:10" x14ac:dyDescent="0.25">
      <c r="B44" t="e">
        <f>#REF!</f>
        <v>#REF!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16" t="s">
        <v>107</v>
      </c>
      <c r="J44">
        <f>RADIO_RxDone!J44</f>
        <v>0</v>
      </c>
    </row>
    <row r="45" spans="2:10" x14ac:dyDescent="0.25">
      <c r="B45" t="e">
        <f>#REF!</f>
        <v>#REF!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16" t="s">
        <v>41</v>
      </c>
      <c r="J45">
        <f>RADIO_RxDone!J45</f>
        <v>0</v>
      </c>
    </row>
    <row r="46" spans="2:10" x14ac:dyDescent="0.25">
      <c r="B46" t="e">
        <f>#REF!</f>
        <v>#REF!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 t="e">
        <f>#REF!</f>
        <v>#REF!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10" t="s">
        <v>163</v>
      </c>
      <c r="J47">
        <f>RADIO_RxDone!J47</f>
        <v>0</v>
      </c>
    </row>
    <row r="48" spans="2:10" x14ac:dyDescent="0.25">
      <c r="B48" t="e">
        <f>#REF!</f>
        <v>#REF!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16" t="s">
        <v>99</v>
      </c>
      <c r="J48">
        <f>RADIO_RxDone!J48</f>
        <v>0</v>
      </c>
    </row>
    <row r="49" spans="2:10" x14ac:dyDescent="0.25">
      <c r="B49" t="e">
        <f>#REF!</f>
        <v>#REF!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16" t="s">
        <v>99</v>
      </c>
      <c r="J49">
        <f>RADIO_RxDone!J49</f>
        <v>0</v>
      </c>
    </row>
    <row r="50" spans="2:10" x14ac:dyDescent="0.25">
      <c r="B50" t="e">
        <f>#REF!</f>
        <v>#REF!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 t="e">
        <f>#REF!</f>
        <v>#REF!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 t="e">
        <f>#REF!</f>
        <v>#REF!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 t="e">
        <f>#REF!</f>
        <v>#REF!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 t="e">
        <f>#REF!</f>
        <v>#REF!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 t="e">
        <f>#REF!</f>
        <v>#REF!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13" t="s">
        <v>5</v>
      </c>
      <c r="J55">
        <f>RADIO_RxDone!J55</f>
        <v>0</v>
      </c>
    </row>
    <row r="56" spans="2:10" x14ac:dyDescent="0.25">
      <c r="B56" t="e">
        <f>#REF!</f>
        <v>#REF!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 t="e">
        <f>#REF!</f>
        <v>#REF!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10" t="s">
        <v>112</v>
      </c>
      <c r="J57" t="str">
        <f>RADIO_RxDone!J57</f>
        <v>RADIO_WatchdogTimeout</v>
      </c>
    </row>
    <row r="58" spans="2:10" x14ac:dyDescent="0.25">
      <c r="B58" t="e">
        <f>#REF!</f>
        <v>#REF!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 t="e">
        <f>#REF!</f>
        <v>#REF!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 t="e">
        <f>#REF!</f>
        <v>#REF!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2:10" x14ac:dyDescent="0.25">
      <c r="B61" t="e">
        <f>#REF!</f>
        <v>#REF!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2:10" x14ac:dyDescent="0.25">
      <c r="B62" t="e">
        <f>#REF!</f>
        <v>#REF!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 t="e">
        <f>#REF!</f>
        <v>#REF!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 t="e">
        <f>#REF!</f>
        <v>#REF!</v>
      </c>
      <c r="C64" t="e">
        <f>RADIO_RxDone!C64</f>
        <v>#REF!</v>
      </c>
      <c r="D64" s="2" t="e">
        <f>RADIO_RxDone!D64</f>
        <v>#REF!</v>
      </c>
      <c r="E64" t="e">
        <f>RADIO_RxDone!E64</f>
        <v>#REF!</v>
      </c>
      <c r="F64" t="e">
        <f>RADIO_RxDone!F64</f>
        <v>#REF!</v>
      </c>
      <c r="G64" t="e">
        <f>RADIO_RxDone!G64</f>
        <v>#REF!</v>
      </c>
      <c r="H64" t="e">
        <f>RADIO_RxDone!H64</f>
        <v>#REF!</v>
      </c>
      <c r="I64" s="2" t="e">
        <f>RADIO_RxDone!I64</f>
        <v>#REF!</v>
      </c>
      <c r="J64" t="e">
        <f>RADIO_RxDone!J64</f>
        <v>#REF!</v>
      </c>
    </row>
    <row r="65" spans="2:10" x14ac:dyDescent="0.25">
      <c r="B65" t="e">
        <f>#REF!</f>
        <v>#REF!</v>
      </c>
      <c r="C65" t="e">
        <f>RADIO_RxDone!C65</f>
        <v>#REF!</v>
      </c>
      <c r="D65" s="2" t="e">
        <f>RADIO_RxDone!D65</f>
        <v>#REF!</v>
      </c>
      <c r="E65" t="e">
        <f>RADIO_RxDone!E65</f>
        <v>#REF!</v>
      </c>
      <c r="F65" t="e">
        <f>RADIO_RxDone!F65</f>
        <v>#REF!</v>
      </c>
      <c r="G65" t="e">
        <f>RADIO_RxDone!G65</f>
        <v>#REF!</v>
      </c>
      <c r="H65" t="e">
        <f>RADIO_RxDone!H65</f>
        <v>#REF!</v>
      </c>
      <c r="I65" s="2" t="e">
        <f>RADIO_RxDone!I65</f>
        <v>#REF!</v>
      </c>
      <c r="J65" t="e">
        <f>RADIO_RxDone!J65</f>
        <v>#REF!</v>
      </c>
    </row>
    <row r="66" spans="2:10" x14ac:dyDescent="0.25">
      <c r="B66" t="e">
        <f>#REF!</f>
        <v>#REF!</v>
      </c>
      <c r="C66" t="e">
        <f>RADIO_RxDone!C66</f>
        <v>#REF!</v>
      </c>
      <c r="D66" s="2" t="e">
        <f>RADIO_RxDone!D66</f>
        <v>#REF!</v>
      </c>
      <c r="E66" t="e">
        <f>RADIO_RxDone!E66</f>
        <v>#REF!</v>
      </c>
      <c r="F66" t="e">
        <f>RADIO_RxDone!F66</f>
        <v>#REF!</v>
      </c>
      <c r="G66" t="e">
        <f>RADIO_RxDone!G66</f>
        <v>#REF!</v>
      </c>
      <c r="H66" t="e">
        <f>RADIO_RxDone!H66</f>
        <v>#REF!</v>
      </c>
      <c r="I66" s="2" t="e">
        <f>RADIO_RxDone!I66</f>
        <v>#REF!</v>
      </c>
      <c r="J66" t="e">
        <f>RADIO_RxDone!J66</f>
        <v>#REF!</v>
      </c>
    </row>
    <row r="67" spans="2:10" x14ac:dyDescent="0.25">
      <c r="B67" t="e">
        <f>#REF!</f>
        <v>#REF!</v>
      </c>
      <c r="C67" t="e">
        <f>RADIO_RxDone!C67</f>
        <v>#REF!</v>
      </c>
      <c r="D67" s="2" t="e">
        <f>RADIO_RxDone!D67</f>
        <v>#REF!</v>
      </c>
      <c r="E67" t="e">
        <f>RADIO_RxDone!E67</f>
        <v>#REF!</v>
      </c>
      <c r="F67" t="e">
        <f>RADIO_RxDone!F67</f>
        <v>#REF!</v>
      </c>
      <c r="G67" t="e">
        <f>RADIO_RxDone!G67</f>
        <v>#REF!</v>
      </c>
      <c r="H67" t="e">
        <f>RADIO_RxDone!H67</f>
        <v>#REF!</v>
      </c>
      <c r="I67" s="2" t="e">
        <f>RADIO_RxDone!I67</f>
        <v>#REF!</v>
      </c>
      <c r="J67" t="e">
        <f>RADIO_RxDone!J67</f>
        <v>#REF!</v>
      </c>
    </row>
    <row r="68" spans="2:10" x14ac:dyDescent="0.25">
      <c r="B68" t="e">
        <f>#REF!</f>
        <v>#REF!</v>
      </c>
      <c r="C68" t="e">
        <f>RADIO_RxDone!C68</f>
        <v>#REF!</v>
      </c>
      <c r="D68" s="2" t="e">
        <f>RADIO_RxDone!D68</f>
        <v>#REF!</v>
      </c>
      <c r="E68" t="e">
        <f>RADIO_RxDone!E68</f>
        <v>#REF!</v>
      </c>
      <c r="F68" t="e">
        <f>RADIO_RxDone!F68</f>
        <v>#REF!</v>
      </c>
      <c r="G68" t="e">
        <f>RADIO_RxDone!G68</f>
        <v>#REF!</v>
      </c>
      <c r="H68" t="e">
        <f>RADIO_RxDone!H68</f>
        <v>#REF!</v>
      </c>
      <c r="I68" s="2" t="e">
        <f>RADIO_RxDone!I68</f>
        <v>#REF!</v>
      </c>
      <c r="J68" t="e">
        <f>RADIO_RxDone!J68</f>
        <v>#REF!</v>
      </c>
    </row>
    <row r="69" spans="2:10" x14ac:dyDescent="0.25">
      <c r="B69" t="e">
        <f>#REF!</f>
        <v>#REF!</v>
      </c>
      <c r="C69" t="e">
        <f>RADIO_RxDone!C69</f>
        <v>#REF!</v>
      </c>
      <c r="D69" s="2" t="e">
        <f>RADIO_RxDone!D69</f>
        <v>#REF!</v>
      </c>
      <c r="E69" t="e">
        <f>RADIO_RxDone!E69</f>
        <v>#REF!</v>
      </c>
      <c r="F69" t="e">
        <f>RADIO_RxDone!F69</f>
        <v>#REF!</v>
      </c>
      <c r="G69" t="e">
        <f>RADIO_RxDone!G69</f>
        <v>#REF!</v>
      </c>
      <c r="H69" t="e">
        <f>RADIO_RxDone!H69</f>
        <v>#REF!</v>
      </c>
      <c r="I69" s="2" t="e">
        <f>RADIO_RxDone!I69</f>
        <v>#REF!</v>
      </c>
      <c r="J69" t="e">
        <f>RADIO_RxDone!J69</f>
        <v>#REF!</v>
      </c>
    </row>
    <row r="70" spans="2:10" x14ac:dyDescent="0.25">
      <c r="B70" t="e">
        <f>#REF!</f>
        <v>#REF!</v>
      </c>
      <c r="C70" t="e">
        <f>RADIO_RxDone!C70</f>
        <v>#REF!</v>
      </c>
      <c r="D70" s="2" t="e">
        <f>RADIO_RxDone!D70</f>
        <v>#REF!</v>
      </c>
      <c r="E70" t="e">
        <f>RADIO_RxDone!E70</f>
        <v>#REF!</v>
      </c>
      <c r="F70" t="e">
        <f>RADIO_RxDone!F70</f>
        <v>#REF!</v>
      </c>
      <c r="G70" t="e">
        <f>RADIO_RxDone!G70</f>
        <v>#REF!</v>
      </c>
      <c r="H70" t="e">
        <f>RADIO_RxDone!H70</f>
        <v>#REF!</v>
      </c>
      <c r="I70" s="2" t="e">
        <f>RADIO_RxDone!I70</f>
        <v>#REF!</v>
      </c>
      <c r="J70" t="e">
        <f>RADIO_RxDone!J70</f>
        <v>#REF!</v>
      </c>
    </row>
    <row r="71" spans="2:10" x14ac:dyDescent="0.25">
      <c r="B71" t="e">
        <f>#REF!</f>
        <v>#REF!</v>
      </c>
      <c r="C71" t="e">
        <f>RADIO_RxDone!C71</f>
        <v>#REF!</v>
      </c>
      <c r="D71" s="2" t="e">
        <f>RADIO_RxDone!D71</f>
        <v>#REF!</v>
      </c>
      <c r="E71" t="e">
        <f>RADIO_RxDone!E71</f>
        <v>#REF!</v>
      </c>
      <c r="F71" t="e">
        <f>RADIO_RxDone!F71</f>
        <v>#REF!</v>
      </c>
      <c r="G71" t="e">
        <f>RADIO_RxDone!G71</f>
        <v>#REF!</v>
      </c>
      <c r="H71" t="e">
        <f>RADIO_RxDone!H71</f>
        <v>#REF!</v>
      </c>
      <c r="I71" s="2" t="e">
        <f>RADIO_RxDone!I71</f>
        <v>#REF!</v>
      </c>
      <c r="J71" t="e">
        <f>RADIO_RxDone!J71</f>
        <v>#REF!</v>
      </c>
    </row>
    <row r="72" spans="2:10" x14ac:dyDescent="0.25">
      <c r="B72" t="e">
        <f>#REF!</f>
        <v>#REF!</v>
      </c>
      <c r="C72" t="e">
        <f>RADIO_RxDone!C72</f>
        <v>#REF!</v>
      </c>
      <c r="D72" s="2" t="e">
        <f>RADIO_RxDone!D72</f>
        <v>#REF!</v>
      </c>
      <c r="E72" t="e">
        <f>RADIO_RxDone!E72</f>
        <v>#REF!</v>
      </c>
      <c r="F72" t="e">
        <f>RADIO_RxDone!F72</f>
        <v>#REF!</v>
      </c>
      <c r="G72" t="e">
        <f>RADIO_RxDone!G72</f>
        <v>#REF!</v>
      </c>
      <c r="H72" t="e">
        <f>RADIO_RxDone!H72</f>
        <v>#REF!</v>
      </c>
      <c r="I72" s="2" t="e">
        <f>RADIO_RxDone!I72</f>
        <v>#REF!</v>
      </c>
      <c r="J72" t="e">
        <f>RADIO_RxDone!J72</f>
        <v>#REF!</v>
      </c>
    </row>
    <row r="73" spans="2:10" x14ac:dyDescent="0.25">
      <c r="B73" t="e">
        <f>#REF!</f>
        <v>#REF!</v>
      </c>
      <c r="C73" t="e">
        <f>RADIO_RxDone!C73</f>
        <v>#REF!</v>
      </c>
      <c r="D73" s="2" t="e">
        <f>RADIO_RxDone!D73</f>
        <v>#REF!</v>
      </c>
      <c r="E73" t="e">
        <f>RADIO_RxDone!E73</f>
        <v>#REF!</v>
      </c>
      <c r="F73" t="e">
        <f>RADIO_RxDone!F73</f>
        <v>#REF!</v>
      </c>
      <c r="G73" t="e">
        <f>RADIO_RxDone!G73</f>
        <v>#REF!</v>
      </c>
      <c r="H73" t="e">
        <f>RADIO_RxDone!H73</f>
        <v>#REF!</v>
      </c>
      <c r="I73" s="2" t="e">
        <f>RADIO_RxDone!I73</f>
        <v>#REF!</v>
      </c>
      <c r="J73" t="e">
        <f>RADIO_RxDone!J73</f>
        <v>#REF!</v>
      </c>
    </row>
    <row r="74" spans="2:10" x14ac:dyDescent="0.25">
      <c r="B74" t="e">
        <f>#REF!</f>
        <v>#REF!</v>
      </c>
      <c r="C74" t="e">
        <f>RADIO_RxDone!C74</f>
        <v>#REF!</v>
      </c>
      <c r="D74" s="2" t="e">
        <f>RADIO_RxDone!D74</f>
        <v>#REF!</v>
      </c>
      <c r="E74" t="e">
        <f>RADIO_RxDone!E74</f>
        <v>#REF!</v>
      </c>
      <c r="F74" t="e">
        <f>RADIO_RxDone!F74</f>
        <v>#REF!</v>
      </c>
      <c r="G74" t="e">
        <f>RADIO_RxDone!G74</f>
        <v>#REF!</v>
      </c>
      <c r="H74" t="e">
        <f>RADIO_RxDone!H74</f>
        <v>#REF!</v>
      </c>
      <c r="I74" s="2" t="e">
        <f>RADIO_RxDone!I74</f>
        <v>#REF!</v>
      </c>
      <c r="J74" t="e">
        <f>RADIO_RxDone!J74</f>
        <v>#REF!</v>
      </c>
    </row>
    <row r="75" spans="2:10" x14ac:dyDescent="0.25">
      <c r="B75" t="e">
        <f>#REF!</f>
        <v>#REF!</v>
      </c>
      <c r="C75" t="e">
        <f>RADIO_RxDone!C75</f>
        <v>#REF!</v>
      </c>
      <c r="D75" s="2" t="e">
        <f>RADIO_RxDone!D75</f>
        <v>#REF!</v>
      </c>
      <c r="E75" t="e">
        <f>RADIO_RxDone!E75</f>
        <v>#REF!</v>
      </c>
      <c r="F75" t="e">
        <f>RADIO_RxDone!F75</f>
        <v>#REF!</v>
      </c>
      <c r="G75" t="e">
        <f>RADIO_RxDone!G75</f>
        <v>#REF!</v>
      </c>
      <c r="H75" t="e">
        <f>RADIO_RxDone!H75</f>
        <v>#REF!</v>
      </c>
      <c r="I75" s="2" t="e">
        <f>RADIO_RxDone!I75</f>
        <v>#REF!</v>
      </c>
      <c r="J75" t="e">
        <f>RADIO_RxDone!J75</f>
        <v>#REF!</v>
      </c>
    </row>
    <row r="76" spans="2:10" x14ac:dyDescent="0.25">
      <c r="B76" t="e">
        <f>#REF!</f>
        <v>#REF!</v>
      </c>
      <c r="C76" t="e">
        <f>RADIO_RxDone!C76</f>
        <v>#REF!</v>
      </c>
      <c r="D76" s="2" t="e">
        <f>RADIO_RxDone!D76</f>
        <v>#REF!</v>
      </c>
      <c r="E76" t="e">
        <f>RADIO_RxDone!E76</f>
        <v>#REF!</v>
      </c>
      <c r="F76" t="e">
        <f>RADIO_RxDone!F76</f>
        <v>#REF!</v>
      </c>
      <c r="G76" t="e">
        <f>RADIO_RxDone!G76</f>
        <v>#REF!</v>
      </c>
      <c r="H76" t="e">
        <f>RADIO_RxDone!H76</f>
        <v>#REF!</v>
      </c>
      <c r="I76" s="2" t="e">
        <f>RADIO_RxDone!I76</f>
        <v>#REF!</v>
      </c>
      <c r="J76" t="e">
        <f>RADIO_RxDone!J76</f>
        <v>#REF!</v>
      </c>
    </row>
    <row r="77" spans="2:10" x14ac:dyDescent="0.25">
      <c r="B77" t="e">
        <f>#REF!</f>
        <v>#REF!</v>
      </c>
      <c r="C77" t="e">
        <f>RADIO_RxDone!C77</f>
        <v>#REF!</v>
      </c>
      <c r="D77" s="2" t="e">
        <f>RADIO_RxDone!D77</f>
        <v>#REF!</v>
      </c>
      <c r="E77" t="e">
        <f>RADIO_RxDone!E77</f>
        <v>#REF!</v>
      </c>
      <c r="F77" t="e">
        <f>RADIO_RxDone!F77</f>
        <v>#REF!</v>
      </c>
      <c r="G77" t="e">
        <f>RADIO_RxDone!G77</f>
        <v>#REF!</v>
      </c>
      <c r="H77" t="e">
        <f>RADIO_RxDone!H77</f>
        <v>#REF!</v>
      </c>
      <c r="I77" s="2" t="e">
        <f>RADIO_RxDone!I77</f>
        <v>#REF!</v>
      </c>
      <c r="J77" t="e">
        <f>RADIO_RxDone!J77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!C1" display="RADIO_RxDone" xr:uid="{9A692878-E53B-4DD4-A598-C7AB51D6A0A7}"/>
    <hyperlink ref="C20" location="LoRa_TxDone_DATA!C1" display="RADIO_TxDone" xr:uid="{09A5917B-950C-4BC3-ADD2-BC0CFB8B1140}"/>
    <hyperlink ref="C21" location="LoRa_TimerHandshaking!C1" display="LoRa_TimerHandshaking" xr:uid="{BA4A44B4-BB31-443B-B3B1-701F86F1E98D}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21</v>
      </c>
      <c r="D1" s="2" t="s">
        <v>114</v>
      </c>
      <c r="E1" s="2" t="s">
        <v>115</v>
      </c>
      <c r="I1" s="2" t="s">
        <v>3</v>
      </c>
    </row>
    <row r="3" spans="2:10" x14ac:dyDescent="0.25">
      <c r="B3" t="e">
        <f>#REF!</f>
        <v>#REF!</v>
      </c>
      <c r="C3" t="str">
        <f>RADIO_RxDone!C3</f>
        <v>LoRa_transmitStatus</v>
      </c>
      <c r="D3" s="2" t="str">
        <f>RADIO_RxDone!D3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 t="e">
        <f>#REF!</f>
        <v>#REF!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 t="e">
        <f>#REF!</f>
        <v>#REF!</v>
      </c>
      <c r="C5" t="str">
        <f>RADIO_RxDone!C5</f>
        <v>flags</v>
      </c>
      <c r="D5" s="2" t="str">
        <f>RADIO_RxDone!D5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 t="e">
        <f>#REF!</f>
        <v>#REF!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/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 t="e">
        <f>#REF!</f>
        <v>#REF!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 t="e">
        <f>#REF!</f>
        <v>#REF!</v>
      </c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e">
        <f>#REF!</f>
        <v>#REF!</v>
      </c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 t="e">
        <f>#REF!</f>
        <v>#REF!</v>
      </c>
      <c r="C27" t="str">
        <f>RADIO_RxDone!C27</f>
        <v>modulation</v>
      </c>
      <c r="D27" s="2" t="str">
        <f>RADIO_RxDone!D27</f>
        <v>MODULATION_LORA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 t="e">
        <f>#REF!</f>
        <v>#REF!</v>
      </c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 t="e">
        <f>#REF!</f>
        <v>#REF!</v>
      </c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 t="e">
        <f>#REF!</f>
        <v>#REF!</v>
      </c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 t="e">
        <f>#REF!</f>
        <v>#REF!</v>
      </c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 t="e">
        <f>#REF!</f>
        <v>#REF!</v>
      </c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 t="e">
        <f>#REF!</f>
        <v>#REF!</v>
      </c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 t="e">
        <f>#REF!</f>
        <v>#REF!</v>
      </c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2:10" x14ac:dyDescent="0.25">
      <c r="B35" t="e">
        <f>#REF!</f>
        <v>#REF!</v>
      </c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 t="e">
        <f>#REF!</f>
        <v>#REF!</v>
      </c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 t="e">
        <f>#REF!</f>
        <v>#REF!</v>
      </c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 t="e">
        <f>#REF!</f>
        <v>#REF!</v>
      </c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2:10" x14ac:dyDescent="0.25">
      <c r="B39" t="e">
        <f>#REF!</f>
        <v>#REF!</v>
      </c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 t="e">
        <f>#REF!</f>
        <v>#REF!</v>
      </c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 t="e">
        <f>#REF!</f>
        <v>#REF!</v>
      </c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2:10" x14ac:dyDescent="0.25">
      <c r="B42" t="e">
        <f>#REF!</f>
        <v>#REF!</v>
      </c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2:10" x14ac:dyDescent="0.25">
      <c r="B43" t="e">
        <f>#REF!</f>
        <v>#REF!</v>
      </c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2:10" x14ac:dyDescent="0.25">
      <c r="B44" t="e">
        <f>#REF!</f>
        <v>#REF!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2:10" x14ac:dyDescent="0.25">
      <c r="B45" t="e">
        <f>#REF!</f>
        <v>#REF!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2:10" x14ac:dyDescent="0.25">
      <c r="B46" t="e">
        <f>#REF!</f>
        <v>#REF!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 t="e">
        <f>#REF!</f>
        <v>#REF!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2:10" x14ac:dyDescent="0.25">
      <c r="B48" t="e">
        <f>#REF!</f>
        <v>#REF!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2:10" x14ac:dyDescent="0.25">
      <c r="B49" t="e">
        <f>#REF!</f>
        <v>#REF!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2:10" x14ac:dyDescent="0.25">
      <c r="B50" t="e">
        <f>#REF!</f>
        <v>#REF!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 t="e">
        <f>#REF!</f>
        <v>#REF!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 t="e">
        <f>#REF!</f>
        <v>#REF!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 t="e">
        <f>#REF!</f>
        <v>#REF!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 t="e">
        <f>#REF!</f>
        <v>#REF!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 t="e">
        <f>#REF!</f>
        <v>#REF!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2:10" x14ac:dyDescent="0.25">
      <c r="B56" t="e">
        <f>#REF!</f>
        <v>#REF!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 t="e">
        <f>#REF!</f>
        <v>#REF!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2:10" x14ac:dyDescent="0.25">
      <c r="B58" t="e">
        <f>#REF!</f>
        <v>#REF!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 t="e">
        <f>#REF!</f>
        <v>#REF!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 t="e">
        <f>#REF!</f>
        <v>#REF!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2:10" x14ac:dyDescent="0.25">
      <c r="B61" t="e">
        <f>#REF!</f>
        <v>#REF!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2:10" x14ac:dyDescent="0.25">
      <c r="B62" t="e">
        <f>#REF!</f>
        <v>#REF!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 t="e">
        <f>#REF!</f>
        <v>#REF!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 t="e">
        <f>#REF!</f>
        <v>#REF!</v>
      </c>
      <c r="C64" t="e">
        <f>RADIO_RxDone!C64</f>
        <v>#REF!</v>
      </c>
      <c r="D64" s="2" t="e">
        <f>RADIO_RxDone!D64</f>
        <v>#REF!</v>
      </c>
      <c r="E64" t="e">
        <f>RADIO_RxDone!E64</f>
        <v>#REF!</v>
      </c>
      <c r="F64" t="e">
        <f>RADIO_RxDone!F64</f>
        <v>#REF!</v>
      </c>
      <c r="G64" t="e">
        <f>RADIO_RxDone!G64</f>
        <v>#REF!</v>
      </c>
      <c r="H64" t="e">
        <f>RADIO_RxDone!H64</f>
        <v>#REF!</v>
      </c>
      <c r="I64" s="2" t="e">
        <f>RADIO_RxDone!I64</f>
        <v>#REF!</v>
      </c>
      <c r="J64" t="e">
        <f>RADIO_RxDone!J64</f>
        <v>#REF!</v>
      </c>
    </row>
    <row r="65" spans="2:10" x14ac:dyDescent="0.25">
      <c r="B65" t="e">
        <f>#REF!</f>
        <v>#REF!</v>
      </c>
      <c r="C65" t="e">
        <f>RADIO_RxDone!C65</f>
        <v>#REF!</v>
      </c>
      <c r="D65" s="2" t="e">
        <f>RADIO_RxDone!D65</f>
        <v>#REF!</v>
      </c>
      <c r="E65" t="e">
        <f>RADIO_RxDone!E65</f>
        <v>#REF!</v>
      </c>
      <c r="F65" t="e">
        <f>RADIO_RxDone!F65</f>
        <v>#REF!</v>
      </c>
      <c r="G65" t="e">
        <f>RADIO_RxDone!G65</f>
        <v>#REF!</v>
      </c>
      <c r="H65" t="e">
        <f>RADIO_RxDone!H65</f>
        <v>#REF!</v>
      </c>
      <c r="I65" s="2" t="e">
        <f>RADIO_RxDone!I65</f>
        <v>#REF!</v>
      </c>
      <c r="J65" t="e">
        <f>RADIO_RxDone!J65</f>
        <v>#REF!</v>
      </c>
    </row>
    <row r="66" spans="2:10" x14ac:dyDescent="0.25">
      <c r="B66" t="e">
        <f>#REF!</f>
        <v>#REF!</v>
      </c>
      <c r="C66" t="e">
        <f>RADIO_RxDone!C66</f>
        <v>#REF!</v>
      </c>
      <c r="D66" s="2" t="e">
        <f>RADIO_RxDone!D66</f>
        <v>#REF!</v>
      </c>
      <c r="E66" t="e">
        <f>RADIO_RxDone!E66</f>
        <v>#REF!</v>
      </c>
      <c r="F66" t="e">
        <f>RADIO_RxDone!F66</f>
        <v>#REF!</v>
      </c>
      <c r="G66" t="e">
        <f>RADIO_RxDone!G66</f>
        <v>#REF!</v>
      </c>
      <c r="H66" t="e">
        <f>RADIO_RxDone!H66</f>
        <v>#REF!</v>
      </c>
      <c r="I66" s="2" t="e">
        <f>RADIO_RxDone!I66</f>
        <v>#REF!</v>
      </c>
      <c r="J66" t="e">
        <f>RADIO_RxDone!J66</f>
        <v>#REF!</v>
      </c>
    </row>
    <row r="67" spans="2:10" x14ac:dyDescent="0.25">
      <c r="B67" t="e">
        <f>#REF!</f>
        <v>#REF!</v>
      </c>
      <c r="C67" t="e">
        <f>RADIO_RxDone!C67</f>
        <v>#REF!</v>
      </c>
      <c r="D67" s="2" t="e">
        <f>RADIO_RxDone!D67</f>
        <v>#REF!</v>
      </c>
      <c r="E67" t="e">
        <f>RADIO_RxDone!E67</f>
        <v>#REF!</v>
      </c>
      <c r="F67" t="e">
        <f>RADIO_RxDone!F67</f>
        <v>#REF!</v>
      </c>
      <c r="G67" t="e">
        <f>RADIO_RxDone!G67</f>
        <v>#REF!</v>
      </c>
      <c r="H67" t="e">
        <f>RADIO_RxDone!H67</f>
        <v>#REF!</v>
      </c>
      <c r="I67" s="2" t="e">
        <f>RADIO_RxDone!I67</f>
        <v>#REF!</v>
      </c>
      <c r="J67" t="e">
        <f>RADIO_RxDone!J67</f>
        <v>#REF!</v>
      </c>
    </row>
    <row r="68" spans="2:10" x14ac:dyDescent="0.25">
      <c r="B68" t="e">
        <f>#REF!</f>
        <v>#REF!</v>
      </c>
      <c r="C68" t="e">
        <f>RADIO_RxDone!C68</f>
        <v>#REF!</v>
      </c>
      <c r="D68" s="2" t="e">
        <f>RADIO_RxDone!D68</f>
        <v>#REF!</v>
      </c>
      <c r="E68" t="e">
        <f>RADIO_RxDone!E68</f>
        <v>#REF!</v>
      </c>
      <c r="F68" t="e">
        <f>RADIO_RxDone!F68</f>
        <v>#REF!</v>
      </c>
      <c r="G68" t="e">
        <f>RADIO_RxDone!G68</f>
        <v>#REF!</v>
      </c>
      <c r="H68" t="e">
        <f>RADIO_RxDone!H68</f>
        <v>#REF!</v>
      </c>
      <c r="I68" s="2" t="e">
        <f>RADIO_RxDone!I68</f>
        <v>#REF!</v>
      </c>
      <c r="J68" t="e">
        <f>RADIO_RxDone!J68</f>
        <v>#REF!</v>
      </c>
    </row>
    <row r="69" spans="2:10" x14ac:dyDescent="0.25">
      <c r="B69" t="e">
        <f>#REF!</f>
        <v>#REF!</v>
      </c>
      <c r="C69" t="e">
        <f>RADIO_RxDone!C69</f>
        <v>#REF!</v>
      </c>
      <c r="D69" s="2" t="e">
        <f>RADIO_RxDone!D69</f>
        <v>#REF!</v>
      </c>
      <c r="E69" t="e">
        <f>RADIO_RxDone!E69</f>
        <v>#REF!</v>
      </c>
      <c r="F69" t="e">
        <f>RADIO_RxDone!F69</f>
        <v>#REF!</v>
      </c>
      <c r="G69" t="e">
        <f>RADIO_RxDone!G69</f>
        <v>#REF!</v>
      </c>
      <c r="H69" t="e">
        <f>RADIO_RxDone!H69</f>
        <v>#REF!</v>
      </c>
      <c r="I69" s="2" t="e">
        <f>RADIO_RxDone!I69</f>
        <v>#REF!</v>
      </c>
      <c r="J69" t="e">
        <f>RADIO_RxDone!J69</f>
        <v>#REF!</v>
      </c>
    </row>
    <row r="70" spans="2:10" x14ac:dyDescent="0.25">
      <c r="B70" t="e">
        <f>#REF!</f>
        <v>#REF!</v>
      </c>
      <c r="C70" t="e">
        <f>RADIO_RxDone!C70</f>
        <v>#REF!</v>
      </c>
      <c r="D70" s="2" t="e">
        <f>RADIO_RxDone!D70</f>
        <v>#REF!</v>
      </c>
      <c r="E70" t="e">
        <f>RADIO_RxDone!E70</f>
        <v>#REF!</v>
      </c>
      <c r="F70" t="e">
        <f>RADIO_RxDone!F70</f>
        <v>#REF!</v>
      </c>
      <c r="G70" t="e">
        <f>RADIO_RxDone!G70</f>
        <v>#REF!</v>
      </c>
      <c r="H70" t="e">
        <f>RADIO_RxDone!H70</f>
        <v>#REF!</v>
      </c>
      <c r="I70" s="2" t="e">
        <f>RADIO_RxDone!I70</f>
        <v>#REF!</v>
      </c>
      <c r="J70" t="e">
        <f>RADIO_RxDone!J70</f>
        <v>#REF!</v>
      </c>
    </row>
    <row r="71" spans="2:10" x14ac:dyDescent="0.25">
      <c r="B71" t="e">
        <f>#REF!</f>
        <v>#REF!</v>
      </c>
      <c r="C71" t="e">
        <f>RADIO_RxDone!C71</f>
        <v>#REF!</v>
      </c>
      <c r="D71" s="2" t="e">
        <f>RADIO_RxDone!D71</f>
        <v>#REF!</v>
      </c>
      <c r="E71" t="e">
        <f>RADIO_RxDone!E71</f>
        <v>#REF!</v>
      </c>
      <c r="F71" t="e">
        <f>RADIO_RxDone!F71</f>
        <v>#REF!</v>
      </c>
      <c r="G71" t="e">
        <f>RADIO_RxDone!G71</f>
        <v>#REF!</v>
      </c>
      <c r="H71" t="e">
        <f>RADIO_RxDone!H71</f>
        <v>#REF!</v>
      </c>
      <c r="I71" s="2" t="e">
        <f>RADIO_RxDone!I71</f>
        <v>#REF!</v>
      </c>
      <c r="J71" t="e">
        <f>RADIO_RxDone!J71</f>
        <v>#REF!</v>
      </c>
    </row>
    <row r="72" spans="2:10" x14ac:dyDescent="0.25">
      <c r="B72" t="e">
        <f>#REF!</f>
        <v>#REF!</v>
      </c>
      <c r="C72" t="e">
        <f>RADIO_RxDone!C72</f>
        <v>#REF!</v>
      </c>
      <c r="D72" s="2" t="e">
        <f>RADIO_RxDone!D72</f>
        <v>#REF!</v>
      </c>
      <c r="E72" t="e">
        <f>RADIO_RxDone!E72</f>
        <v>#REF!</v>
      </c>
      <c r="F72" t="e">
        <f>RADIO_RxDone!F72</f>
        <v>#REF!</v>
      </c>
      <c r="G72" t="e">
        <f>RADIO_RxDone!G72</f>
        <v>#REF!</v>
      </c>
      <c r="H72" t="e">
        <f>RADIO_RxDone!H72</f>
        <v>#REF!</v>
      </c>
      <c r="I72" s="2" t="e">
        <f>RADIO_RxDone!I72</f>
        <v>#REF!</v>
      </c>
      <c r="J72" t="e">
        <f>RADIO_RxDone!J72</f>
        <v>#REF!</v>
      </c>
    </row>
    <row r="73" spans="2:10" x14ac:dyDescent="0.25">
      <c r="B73" t="e">
        <f>#REF!</f>
        <v>#REF!</v>
      </c>
      <c r="C73" t="e">
        <f>RADIO_RxDone!C73</f>
        <v>#REF!</v>
      </c>
      <c r="D73" s="2" t="e">
        <f>RADIO_RxDone!D73</f>
        <v>#REF!</v>
      </c>
      <c r="E73" t="e">
        <f>RADIO_RxDone!E73</f>
        <v>#REF!</v>
      </c>
      <c r="F73" t="e">
        <f>RADIO_RxDone!F73</f>
        <v>#REF!</v>
      </c>
      <c r="G73" t="e">
        <f>RADIO_RxDone!G73</f>
        <v>#REF!</v>
      </c>
      <c r="H73" t="e">
        <f>RADIO_RxDone!H73</f>
        <v>#REF!</v>
      </c>
      <c r="I73" s="2" t="e">
        <f>RADIO_RxDone!I73</f>
        <v>#REF!</v>
      </c>
      <c r="J73" t="e">
        <f>RADIO_RxDone!J73</f>
        <v>#REF!</v>
      </c>
    </row>
    <row r="74" spans="2:10" x14ac:dyDescent="0.25">
      <c r="B74" t="e">
        <f>#REF!</f>
        <v>#REF!</v>
      </c>
      <c r="C74" t="e">
        <f>RADIO_RxDone!C74</f>
        <v>#REF!</v>
      </c>
      <c r="D74" s="2" t="e">
        <f>RADIO_RxDone!D74</f>
        <v>#REF!</v>
      </c>
      <c r="E74" t="e">
        <f>RADIO_RxDone!E74</f>
        <v>#REF!</v>
      </c>
      <c r="F74" t="e">
        <f>RADIO_RxDone!F74</f>
        <v>#REF!</v>
      </c>
      <c r="G74" t="e">
        <f>RADIO_RxDone!G74</f>
        <v>#REF!</v>
      </c>
      <c r="H74" t="e">
        <f>RADIO_RxDone!H74</f>
        <v>#REF!</v>
      </c>
      <c r="I74" s="2" t="e">
        <f>RADIO_RxDone!I74</f>
        <v>#REF!</v>
      </c>
      <c r="J74" t="e">
        <f>RADIO_RxDone!J74</f>
        <v>#REF!</v>
      </c>
    </row>
    <row r="75" spans="2:10" x14ac:dyDescent="0.25">
      <c r="B75" t="e">
        <f>#REF!</f>
        <v>#REF!</v>
      </c>
      <c r="C75" t="e">
        <f>RADIO_RxDone!C75</f>
        <v>#REF!</v>
      </c>
      <c r="D75" s="2" t="e">
        <f>RADIO_RxDone!D75</f>
        <v>#REF!</v>
      </c>
      <c r="E75" t="e">
        <f>RADIO_RxDone!E75</f>
        <v>#REF!</v>
      </c>
      <c r="F75" t="e">
        <f>RADIO_RxDone!F75</f>
        <v>#REF!</v>
      </c>
      <c r="G75" t="e">
        <f>RADIO_RxDone!G75</f>
        <v>#REF!</v>
      </c>
      <c r="H75" t="e">
        <f>RADIO_RxDone!H75</f>
        <v>#REF!</v>
      </c>
      <c r="I75" s="2" t="e">
        <f>RADIO_RxDone!I75</f>
        <v>#REF!</v>
      </c>
      <c r="J75" t="e">
        <f>RADIO_RxDone!J75</f>
        <v>#REF!</v>
      </c>
    </row>
    <row r="76" spans="2:10" x14ac:dyDescent="0.25">
      <c r="B76" t="e">
        <f>#REF!</f>
        <v>#REF!</v>
      </c>
      <c r="C76" t="e">
        <f>RADIO_RxDone!C76</f>
        <v>#REF!</v>
      </c>
      <c r="D76" s="2" t="e">
        <f>RADIO_RxDone!D76</f>
        <v>#REF!</v>
      </c>
      <c r="E76" t="e">
        <f>RADIO_RxDone!E76</f>
        <v>#REF!</v>
      </c>
      <c r="F76" t="e">
        <f>RADIO_RxDone!F76</f>
        <v>#REF!</v>
      </c>
      <c r="G76" t="e">
        <f>RADIO_RxDone!G76</f>
        <v>#REF!</v>
      </c>
      <c r="H76" t="e">
        <f>RADIO_RxDone!H76</f>
        <v>#REF!</v>
      </c>
      <c r="I76" s="2" t="e">
        <f>RADIO_RxDone!I76</f>
        <v>#REF!</v>
      </c>
      <c r="J76" t="e">
        <f>RADIO_RxDone!J76</f>
        <v>#REF!</v>
      </c>
    </row>
    <row r="77" spans="2:10" x14ac:dyDescent="0.25">
      <c r="B77" t="e">
        <f>#REF!</f>
        <v>#REF!</v>
      </c>
      <c r="C77" t="e">
        <f>RADIO_RxDone!C77</f>
        <v>#REF!</v>
      </c>
      <c r="D77" s="2" t="e">
        <f>RADIO_RxDone!D77</f>
        <v>#REF!</v>
      </c>
      <c r="E77" t="e">
        <f>RADIO_RxDone!E77</f>
        <v>#REF!</v>
      </c>
      <c r="F77" t="e">
        <f>RADIO_RxDone!F77</f>
        <v>#REF!</v>
      </c>
      <c r="G77" t="e">
        <f>RADIO_RxDone!G77</f>
        <v>#REF!</v>
      </c>
      <c r="H77" t="e">
        <f>RADIO_RxDone!H77</f>
        <v>#REF!</v>
      </c>
      <c r="I77" s="2" t="e">
        <f>RADIO_RxDone!I77</f>
        <v>#REF!</v>
      </c>
      <c r="J77" t="e">
        <f>RADIO_RxDone!J77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!C1" display="RADIO_RxDone" xr:uid="{B83875F8-55B6-4AD8-964B-3E0CA98DF774}"/>
    <hyperlink ref="C21" location="LoRa_TimerHandshaking!C1" display="LoRa_TimerHandshaking" xr:uid="{8AADE959-1645-4BBC-8814-3C9B9018D577}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15</v>
      </c>
      <c r="I1" s="2" t="s">
        <v>3</v>
      </c>
    </row>
    <row r="3" spans="2:10" x14ac:dyDescent="0.25">
      <c r="B3" t="e">
        <f>#REF!</f>
        <v>#REF!</v>
      </c>
      <c r="C3" t="str">
        <f>LoRa_RxDone_OK!C3</f>
        <v>LoRa_transmitStatus</v>
      </c>
      <c r="D3" s="6" t="s">
        <v>36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6" t="s">
        <v>36</v>
      </c>
      <c r="J3">
        <f>LoRa_RxDone_OK!J3</f>
        <v>0</v>
      </c>
    </row>
    <row r="4" spans="2:10" x14ac:dyDescent="0.25">
      <c r="B4" t="e">
        <f>#REF!</f>
        <v>#REF!</v>
      </c>
      <c r="C4" t="str">
        <f>LoRa_RxDone_OK!C4</f>
        <v>LoRa_StatusDanych</v>
      </c>
      <c r="D4" s="2" t="str">
        <f>LoRa_RxDone_OK!D4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B5" t="e">
        <f>#REF!</f>
        <v>#REF!</v>
      </c>
      <c r="C5" t="str">
        <f>LoRa_RxDone_OK!C5</f>
        <v>flags</v>
      </c>
      <c r="D5" s="2" t="str">
        <f>LoRa_RxDone_OK!E5</f>
        <v>RADIO_FLAG_TRANSMITTING</v>
      </c>
      <c r="E5" s="14" t="str">
        <f>I47</f>
        <v>RADIO_FLAG_RECEIVING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B6" t="e">
        <f>#REF!</f>
        <v>#REF!</v>
      </c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B8" t="e">
        <f>#REF!</f>
        <v>#REF!</v>
      </c>
      <c r="C8" s="35" t="s">
        <v>7</v>
      </c>
      <c r="D8" s="29"/>
      <c r="E8" s="21"/>
      <c r="F8" s="22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 t="s">
        <v>173</v>
      </c>
      <c r="C9" s="20"/>
      <c r="D9" s="29"/>
      <c r="E9" s="21"/>
      <c r="F9" s="22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e">
        <f>#REF!</f>
        <v>#REF!</v>
      </c>
      <c r="C10" s="24" t="s">
        <v>175</v>
      </c>
      <c r="D10" s="29"/>
      <c r="E10" s="21"/>
      <c r="F10" s="22"/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e">
        <f>#REF!</f>
        <v>#REF!</v>
      </c>
      <c r="C11" s="20" t="s">
        <v>17</v>
      </c>
      <c r="D11" s="29" t="s">
        <v>92</v>
      </c>
      <c r="E11" s="21" t="s">
        <v>91</v>
      </c>
      <c r="F11" s="22"/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e">
        <f>#REF!</f>
        <v>#REF!</v>
      </c>
      <c r="C12" s="20" t="s">
        <v>164</v>
      </c>
      <c r="D12" s="29">
        <v>4</v>
      </c>
      <c r="E12" s="21"/>
      <c r="F12" s="22"/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2:10" x14ac:dyDescent="0.25">
      <c r="B20" t="e">
        <f>#REF!</f>
        <v>#REF!</v>
      </c>
      <c r="C20" s="33" t="s">
        <v>6</v>
      </c>
      <c r="D20" s="29"/>
      <c r="E20" s="21"/>
      <c r="F20" s="22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2:10" x14ac:dyDescent="0.25">
      <c r="B21" t="e">
        <f>#REF!</f>
        <v>#REF!</v>
      </c>
      <c r="C21" t="s">
        <v>25</v>
      </c>
      <c r="D21" s="29"/>
      <c r="E21" s="21"/>
      <c r="F21" s="22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2:10" x14ac:dyDescent="0.25">
      <c r="B22" t="e">
        <f>#REF!</f>
        <v>#REF!</v>
      </c>
      <c r="C22" s="20" t="s">
        <v>54</v>
      </c>
      <c r="D22" s="29"/>
      <c r="E22" s="21"/>
      <c r="F22" s="22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2:10" x14ac:dyDescent="0.25">
      <c r="B23" t="e">
        <f>#REF!</f>
        <v>#REF!</v>
      </c>
      <c r="C23" s="20" t="s">
        <v>55</v>
      </c>
      <c r="D23" s="29"/>
      <c r="E23" s="21"/>
      <c r="F23" s="22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2:10" x14ac:dyDescent="0.25">
      <c r="B25" t="e">
        <f>#REF!</f>
        <v>#REF!</v>
      </c>
      <c r="C25" t="str">
        <f>LoRa_RxDone_OK!C25</f>
        <v>DATA</v>
      </c>
      <c r="D25" s="2" t="str">
        <f>LoRa_RxDone_OK!D25</f>
        <v>LoRa_Bufor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2:10" x14ac:dyDescent="0.25">
      <c r="B26" t="e">
        <f>#REF!</f>
        <v>#REF!</v>
      </c>
      <c r="C26" t="str">
        <f>LoRa_RxDone_OK!C26</f>
        <v>mode</v>
      </c>
      <c r="D26" s="16" t="s">
        <v>166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2:10" x14ac:dyDescent="0.25">
      <c r="B27" t="e">
        <f>#REF!</f>
        <v>#REF!</v>
      </c>
      <c r="C27" t="str">
        <f>LoRa_RxDone_OK!C27</f>
        <v>modulation</v>
      </c>
      <c r="D27" s="16" t="s">
        <v>100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2:10" x14ac:dyDescent="0.25">
      <c r="B28" t="e">
        <f>#REF!</f>
        <v>#REF!</v>
      </c>
      <c r="C28" t="str">
        <f>LoRa_RxDone_OK!C28</f>
        <v>frequency</v>
      </c>
      <c r="D28" s="16" t="s">
        <v>101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2:10" x14ac:dyDescent="0.25">
      <c r="B29" t="e">
        <f>#REF!</f>
        <v>#REF!</v>
      </c>
      <c r="C29" t="str">
        <f>LoRa_RxDone_OK!C29</f>
        <v>payload</v>
      </c>
      <c r="D29" s="16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2:10" x14ac:dyDescent="0.25">
      <c r="B30" t="e">
        <f>#REF!</f>
        <v>#REF!</v>
      </c>
      <c r="C30" t="str">
        <f>LoRa_RxDone_OK!C30</f>
        <v>power</v>
      </c>
      <c r="D30" s="16" t="s">
        <v>107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2:10" x14ac:dyDescent="0.25">
      <c r="B31" t="e">
        <f>#REF!</f>
        <v>#REF!</v>
      </c>
      <c r="C31" t="str">
        <f>LoRa_RxDone_OK!C31</f>
        <v>SpreadingFactor</v>
      </c>
      <c r="D31" s="16" t="s">
        <v>103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2:10" x14ac:dyDescent="0.25">
      <c r="B32" t="e">
        <f>#REF!</f>
        <v>#REF!</v>
      </c>
      <c r="C32" t="str">
        <f>LoRa_RxDone_OK!C32</f>
        <v>Bandwidth</v>
      </c>
      <c r="D32" s="16" t="s">
        <v>104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2:10" x14ac:dyDescent="0.25">
      <c r="B33" t="e">
        <f>#REF!</f>
        <v>#REF!</v>
      </c>
      <c r="C33" t="str">
        <f>LoRa_RxDone_OK!C33</f>
        <v>SyncWord</v>
      </c>
      <c r="D33" s="16" t="s">
        <v>74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2:10" x14ac:dyDescent="0.25">
      <c r="B34" t="e">
        <f>#REF!</f>
        <v>#REF!</v>
      </c>
      <c r="C34" t="str">
        <f>LoRa_RxDone_OK!C34</f>
        <v>CRC</v>
      </c>
      <c r="D34" s="16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16" t="s">
        <v>101</v>
      </c>
      <c r="J34">
        <f>LoRa_RxDone_OK!J34</f>
        <v>0</v>
      </c>
    </row>
    <row r="35" spans="2:10" x14ac:dyDescent="0.25">
      <c r="B35" t="e">
        <f>#REF!</f>
        <v>#REF!</v>
      </c>
      <c r="C35" t="str">
        <f>LoRa_RxDone_OK!C35</f>
        <v>IQInverted</v>
      </c>
      <c r="D35" s="16" t="str">
        <f>LoRa_RxDone_OK!D35</f>
        <v>DISABLED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2:10" x14ac:dyDescent="0.25">
      <c r="B36" t="e">
        <f>#REF!</f>
        <v>#REF!</v>
      </c>
      <c r="C36" t="str">
        <f>LoRa_RxDone_OK!C36</f>
        <v>HopPeriod</v>
      </c>
      <c r="D36" s="16" t="str">
        <f>LoRa_RxDone_OK!D36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2:10" x14ac:dyDescent="0.25">
      <c r="B37" t="e">
        <f>#REF!</f>
        <v>#REF!</v>
      </c>
      <c r="C37" t="str">
        <f>LoRa_RxDone_OK!C37</f>
        <v>errorCodingRate</v>
      </c>
      <c r="D37" s="16" t="str">
        <f>LoRa_RxDone_OK!D37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2:10" x14ac:dyDescent="0.25">
      <c r="B38" t="e">
        <f>#REF!</f>
        <v>#REF!</v>
      </c>
      <c r="C38" t="str">
        <f>LoRa_RxDone_OK!C38</f>
        <v>implicitHeaderMode</v>
      </c>
      <c r="D38" s="16" t="str">
        <f>LoRa_RxDone_OK!D38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2" t="s">
        <v>74</v>
      </c>
      <c r="J38">
        <f>LoRa_RxDone_OK!J38</f>
        <v>0</v>
      </c>
    </row>
    <row r="39" spans="2:10" x14ac:dyDescent="0.25">
      <c r="B39" t="e">
        <f>#REF!</f>
        <v>#REF!</v>
      </c>
      <c r="C39" t="str">
        <f>LoRa_RxDone_OK!C39</f>
        <v>preambleLen</v>
      </c>
      <c r="D39" s="16">
        <v>4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2:10" x14ac:dyDescent="0.25">
      <c r="B40" t="e">
        <f>#REF!</f>
        <v>#REF!</v>
      </c>
      <c r="C40" t="str">
        <f>LoRa_RxDone_OK!C40</f>
        <v>symbolTimeout</v>
      </c>
      <c r="D40" s="16">
        <f>LoRa_RxDone_OK!D40</f>
        <v>25000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2:10" x14ac:dyDescent="0.25">
      <c r="B41" t="e">
        <f>#REF!</f>
        <v>#REF!</v>
      </c>
      <c r="C41" t="str">
        <f>LoRa_RxDone_OK!C41</f>
        <v>FSKfreqDeviation</v>
      </c>
      <c r="D41" s="16">
        <f>LoRa_RxDone_OK!D41</f>
        <v>50000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16" t="s">
        <v>100</v>
      </c>
      <c r="J41">
        <f>LoRa_RxDone_OK!J41</f>
        <v>0</v>
      </c>
    </row>
    <row r="42" spans="2:10" x14ac:dyDescent="0.25">
      <c r="B42" t="e">
        <f>#REF!</f>
        <v>#REF!</v>
      </c>
      <c r="C42" t="str">
        <f>LoRa_RxDone_OK!C42</f>
        <v>FSKBitRate</v>
      </c>
      <c r="D42" s="16">
        <f>LoRa_RxDone_OK!D42</f>
        <v>8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16" t="s">
        <v>103</v>
      </c>
      <c r="J42">
        <f>LoRa_RxDone_OK!J42</f>
        <v>0</v>
      </c>
    </row>
    <row r="43" spans="2:10" x14ac:dyDescent="0.25">
      <c r="B43" t="e">
        <f>#REF!</f>
        <v>#REF!</v>
      </c>
      <c r="C43" t="str">
        <f>LoRa_RxDone_OK!C43</f>
        <v>FSK_PREAMBLE</v>
      </c>
      <c r="D43" s="16" t="str">
        <f>LoRa_RxDone_OK!D43</f>
        <v>FSK_SHAPING_GAUSS_BT_0_5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16" t="s">
        <v>104</v>
      </c>
      <c r="J43">
        <f>LoRa_RxDone_OK!J43</f>
        <v>0</v>
      </c>
    </row>
    <row r="44" spans="2:10" x14ac:dyDescent="0.25">
      <c r="B44" t="e">
        <f>#REF!</f>
        <v>#REF!</v>
      </c>
      <c r="C44" t="str">
        <f>LoRa_RxDone_OK!C44</f>
        <v>fskDataShaping</v>
      </c>
      <c r="D44" s="2" t="str">
        <f>LoRa_RxDone_OK!D44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2:10" x14ac:dyDescent="0.25">
      <c r="B45" t="e">
        <f>#REF!</f>
        <v>#REF!</v>
      </c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16" t="s">
        <v>99</v>
      </c>
      <c r="J45">
        <f>LoRa_RxDone_OK!J45</f>
        <v>0</v>
      </c>
    </row>
    <row r="46" spans="2:10" x14ac:dyDescent="0.25">
      <c r="B46" t="e">
        <f>#REF!</f>
        <v>#REF!</v>
      </c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2:10" x14ac:dyDescent="0.25">
      <c r="B47" t="e">
        <f>#REF!</f>
        <v>#REF!</v>
      </c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15" t="s">
        <v>165</v>
      </c>
      <c r="J47">
        <f>LoRa_RxDone_OK!J47</f>
        <v>0</v>
      </c>
    </row>
    <row r="48" spans="2:10" x14ac:dyDescent="0.25">
      <c r="B48" t="e">
        <f>#REF!</f>
        <v>#REF!</v>
      </c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16" t="s">
        <v>99</v>
      </c>
      <c r="J48">
        <f>LoRa_RxDone_OK!J48</f>
        <v>0</v>
      </c>
    </row>
    <row r="49" spans="2:10" x14ac:dyDescent="0.25">
      <c r="B49" t="e">
        <f>#REF!</f>
        <v>#REF!</v>
      </c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16" t="s">
        <v>41</v>
      </c>
      <c r="J49">
        <f>LoRa_RxDone_OK!J49</f>
        <v>0</v>
      </c>
    </row>
    <row r="50" spans="2:10" x14ac:dyDescent="0.25">
      <c r="B50" t="e">
        <f>#REF!</f>
        <v>#REF!</v>
      </c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2:10" x14ac:dyDescent="0.25">
      <c r="B51" t="e">
        <f>#REF!</f>
        <v>#REF!</v>
      </c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2:10" x14ac:dyDescent="0.25">
      <c r="B52" t="e">
        <f>#REF!</f>
        <v>#REF!</v>
      </c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2:10" x14ac:dyDescent="0.25">
      <c r="B53" t="e">
        <f>#REF!</f>
        <v>#REF!</v>
      </c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LEN</v>
      </c>
      <c r="J53">
        <f>LoRa_RxDone_OK!J53</f>
        <v>0</v>
      </c>
    </row>
    <row r="54" spans="2:10" x14ac:dyDescent="0.25">
      <c r="B54" t="e">
        <f>#REF!</f>
        <v>#REF!</v>
      </c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LoRa_radioBuffer</v>
      </c>
      <c r="J54">
        <f>LoRa_RxDone_OK!J54</f>
        <v>0</v>
      </c>
    </row>
    <row r="55" spans="2:10" x14ac:dyDescent="0.25">
      <c r="B55" t="e">
        <f>#REF!</f>
        <v>#REF!</v>
      </c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2:10" x14ac:dyDescent="0.25">
      <c r="B56" t="e">
        <f>#REF!</f>
        <v>#REF!</v>
      </c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2:10" x14ac:dyDescent="0.25">
      <c r="B57" t="e">
        <f>#REF!</f>
        <v>#REF!</v>
      </c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15" t="s">
        <v>112</v>
      </c>
      <c r="J57" t="str">
        <f>LoRa_RxDone_OK!J57</f>
        <v>RADIO_WatchdogTimeout</v>
      </c>
    </row>
    <row r="58" spans="2:10" x14ac:dyDescent="0.25">
      <c r="B58" t="e">
        <f>#REF!</f>
        <v>#REF!</v>
      </c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2:10" x14ac:dyDescent="0.25">
      <c r="B59" t="e">
        <f>#REF!</f>
        <v>#REF!</v>
      </c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2:10" x14ac:dyDescent="0.25">
      <c r="B60" t="e">
        <f>#REF!</f>
        <v>#REF!</v>
      </c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2:10" x14ac:dyDescent="0.25">
      <c r="B61" t="e">
        <f>#REF!</f>
        <v>#REF!</v>
      </c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2:10" x14ac:dyDescent="0.25">
      <c r="B62" t="e">
        <f>#REF!</f>
        <v>#REF!</v>
      </c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SNR</v>
      </c>
      <c r="J62">
        <f>LoRa_RxDone_OK!J62</f>
        <v>0</v>
      </c>
    </row>
    <row r="63" spans="2:10" x14ac:dyDescent="0.25">
      <c r="B63" t="e">
        <f>#REF!</f>
        <v>#REF!</v>
      </c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2:10" x14ac:dyDescent="0.25">
      <c r="B64" t="e">
        <f>#REF!</f>
        <v>#REF!</v>
      </c>
      <c r="C64" t="e">
        <f>LoRa_RxDone_OK!C64</f>
        <v>#REF!</v>
      </c>
      <c r="D64" s="2" t="e">
        <f>LoRa_RxDone_OK!D64</f>
        <v>#REF!</v>
      </c>
      <c r="E64" t="e">
        <f>LoRa_RxDone_OK!E64</f>
        <v>#REF!</v>
      </c>
      <c r="F64" t="e">
        <f>LoRa_RxDone_OK!F64</f>
        <v>#REF!</v>
      </c>
      <c r="G64" t="e">
        <f>LoRa_RxDone_OK!G64</f>
        <v>#REF!</v>
      </c>
      <c r="H64" t="e">
        <f>LoRa_RxDone_OK!H64</f>
        <v>#REF!</v>
      </c>
      <c r="I64" s="2" t="e">
        <f>LoRa_RxDone_OK!I64</f>
        <v>#REF!</v>
      </c>
      <c r="J64" t="e">
        <f>LoRa_RxDone_OK!J64</f>
        <v>#REF!</v>
      </c>
    </row>
    <row r="65" spans="2:10" x14ac:dyDescent="0.25">
      <c r="B65" t="e">
        <f>#REF!</f>
        <v>#REF!</v>
      </c>
      <c r="C65" t="e">
        <f>LoRa_RxDone_OK!C65</f>
        <v>#REF!</v>
      </c>
      <c r="D65" s="2" t="e">
        <f>LoRa_RxDone_OK!D65</f>
        <v>#REF!</v>
      </c>
      <c r="E65" t="e">
        <f>LoRa_RxDone_OK!E65</f>
        <v>#REF!</v>
      </c>
      <c r="F65" t="e">
        <f>LoRa_RxDone_OK!F65</f>
        <v>#REF!</v>
      </c>
      <c r="G65" t="e">
        <f>LoRa_RxDone_OK!G65</f>
        <v>#REF!</v>
      </c>
      <c r="H65" t="e">
        <f>LoRa_RxDone_OK!H65</f>
        <v>#REF!</v>
      </c>
      <c r="I65" s="2" t="e">
        <f>LoRa_RxDone_OK!I65</f>
        <v>#REF!</v>
      </c>
      <c r="J65" t="e">
        <f>LoRa_RxDone_OK!J65</f>
        <v>#REF!</v>
      </c>
    </row>
    <row r="66" spans="2:10" x14ac:dyDescent="0.25">
      <c r="B66" t="e">
        <f>#REF!</f>
        <v>#REF!</v>
      </c>
      <c r="C66" t="e">
        <f>LoRa_RxDone_OK!C66</f>
        <v>#REF!</v>
      </c>
      <c r="D66" s="2" t="e">
        <f>LoRa_RxDone_OK!D66</f>
        <v>#REF!</v>
      </c>
      <c r="E66" t="e">
        <f>LoRa_RxDone_OK!E66</f>
        <v>#REF!</v>
      </c>
      <c r="F66" t="e">
        <f>LoRa_RxDone_OK!F66</f>
        <v>#REF!</v>
      </c>
      <c r="G66" t="e">
        <f>LoRa_RxDone_OK!G66</f>
        <v>#REF!</v>
      </c>
      <c r="H66" t="e">
        <f>LoRa_RxDone_OK!H66</f>
        <v>#REF!</v>
      </c>
      <c r="I66" s="2" t="e">
        <f>LoRa_RxDone_OK!I66</f>
        <v>#REF!</v>
      </c>
      <c r="J66" t="e">
        <f>LoRa_RxDone_OK!J66</f>
        <v>#REF!</v>
      </c>
    </row>
    <row r="67" spans="2:10" x14ac:dyDescent="0.25">
      <c r="B67" t="e">
        <f>#REF!</f>
        <v>#REF!</v>
      </c>
      <c r="C67" t="e">
        <f>LoRa_RxDone_OK!C67</f>
        <v>#REF!</v>
      </c>
      <c r="D67" s="2" t="e">
        <f>LoRa_RxDone_OK!D67</f>
        <v>#REF!</v>
      </c>
      <c r="E67" t="e">
        <f>LoRa_RxDone_OK!E67</f>
        <v>#REF!</v>
      </c>
      <c r="F67" t="e">
        <f>LoRa_RxDone_OK!F67</f>
        <v>#REF!</v>
      </c>
      <c r="G67" t="e">
        <f>LoRa_RxDone_OK!G67</f>
        <v>#REF!</v>
      </c>
      <c r="H67" t="e">
        <f>LoRa_RxDone_OK!H67</f>
        <v>#REF!</v>
      </c>
      <c r="I67" s="2" t="e">
        <f>LoRa_RxDone_OK!I67</f>
        <v>#REF!</v>
      </c>
      <c r="J67" t="e">
        <f>LoRa_RxDone_OK!J67</f>
        <v>#REF!</v>
      </c>
    </row>
    <row r="68" spans="2:10" x14ac:dyDescent="0.25">
      <c r="B68" t="e">
        <f>#REF!</f>
        <v>#REF!</v>
      </c>
      <c r="C68" t="e">
        <f>LoRa_RxDone_OK!C68</f>
        <v>#REF!</v>
      </c>
      <c r="D68" s="2" t="e">
        <f>LoRa_RxDone_OK!D68</f>
        <v>#REF!</v>
      </c>
      <c r="E68" t="e">
        <f>LoRa_RxDone_OK!E68</f>
        <v>#REF!</v>
      </c>
      <c r="F68" t="e">
        <f>LoRa_RxDone_OK!F68</f>
        <v>#REF!</v>
      </c>
      <c r="G68" t="e">
        <f>LoRa_RxDone_OK!G68</f>
        <v>#REF!</v>
      </c>
      <c r="H68" t="e">
        <f>LoRa_RxDone_OK!H68</f>
        <v>#REF!</v>
      </c>
      <c r="I68" s="2" t="e">
        <f>LoRa_RxDone_OK!I68</f>
        <v>#REF!</v>
      </c>
      <c r="J68" t="e">
        <f>LoRa_RxDone_OK!J68</f>
        <v>#REF!</v>
      </c>
    </row>
    <row r="69" spans="2:10" x14ac:dyDescent="0.25">
      <c r="B69" t="e">
        <f>#REF!</f>
        <v>#REF!</v>
      </c>
      <c r="C69" t="e">
        <f>LoRa_RxDone_OK!C69</f>
        <v>#REF!</v>
      </c>
      <c r="D69" s="2" t="e">
        <f>LoRa_RxDone_OK!D69</f>
        <v>#REF!</v>
      </c>
      <c r="E69" t="e">
        <f>LoRa_RxDone_OK!E69</f>
        <v>#REF!</v>
      </c>
      <c r="F69" t="e">
        <f>LoRa_RxDone_OK!F69</f>
        <v>#REF!</v>
      </c>
      <c r="G69" t="e">
        <f>LoRa_RxDone_OK!G69</f>
        <v>#REF!</v>
      </c>
      <c r="H69" t="e">
        <f>LoRa_RxDone_OK!H69</f>
        <v>#REF!</v>
      </c>
      <c r="I69" s="2" t="e">
        <f>LoRa_RxDone_OK!I69</f>
        <v>#REF!</v>
      </c>
      <c r="J69" t="e">
        <f>LoRa_RxDone_OK!J69</f>
        <v>#REF!</v>
      </c>
    </row>
    <row r="70" spans="2:10" x14ac:dyDescent="0.25">
      <c r="B70" t="e">
        <f>#REF!</f>
        <v>#REF!</v>
      </c>
      <c r="C70" t="e">
        <f>LoRa_RxDone_OK!C70</f>
        <v>#REF!</v>
      </c>
      <c r="D70" s="2" t="e">
        <f>LoRa_RxDone_OK!D70</f>
        <v>#REF!</v>
      </c>
      <c r="E70" t="e">
        <f>LoRa_RxDone_OK!E70</f>
        <v>#REF!</v>
      </c>
      <c r="F70" t="e">
        <f>LoRa_RxDone_OK!F70</f>
        <v>#REF!</v>
      </c>
      <c r="G70" t="e">
        <f>LoRa_RxDone_OK!G70</f>
        <v>#REF!</v>
      </c>
      <c r="H70" t="e">
        <f>LoRa_RxDone_OK!H70</f>
        <v>#REF!</v>
      </c>
      <c r="I70" s="2" t="e">
        <f>LoRa_RxDone_OK!I70</f>
        <v>#REF!</v>
      </c>
      <c r="J70" t="e">
        <f>LoRa_RxDone_OK!J70</f>
        <v>#REF!</v>
      </c>
    </row>
    <row r="71" spans="2:10" x14ac:dyDescent="0.25">
      <c r="B71" t="e">
        <f>#REF!</f>
        <v>#REF!</v>
      </c>
      <c r="C71" t="e">
        <f>LoRa_RxDone_OK!C71</f>
        <v>#REF!</v>
      </c>
      <c r="D71" s="2" t="e">
        <f>LoRa_RxDone_OK!D71</f>
        <v>#REF!</v>
      </c>
      <c r="E71" t="e">
        <f>LoRa_RxDone_OK!E71</f>
        <v>#REF!</v>
      </c>
      <c r="F71" t="e">
        <f>LoRa_RxDone_OK!F71</f>
        <v>#REF!</v>
      </c>
      <c r="G71" t="e">
        <f>LoRa_RxDone_OK!G71</f>
        <v>#REF!</v>
      </c>
      <c r="H71" t="e">
        <f>LoRa_RxDone_OK!H71</f>
        <v>#REF!</v>
      </c>
      <c r="I71" s="2" t="e">
        <f>LoRa_RxDone_OK!I71</f>
        <v>#REF!</v>
      </c>
      <c r="J71" t="e">
        <f>LoRa_RxDone_OK!J71</f>
        <v>#REF!</v>
      </c>
    </row>
    <row r="72" spans="2:10" x14ac:dyDescent="0.25">
      <c r="B72" t="e">
        <f>#REF!</f>
        <v>#REF!</v>
      </c>
      <c r="C72" t="e">
        <f>LoRa_RxDone_OK!C72</f>
        <v>#REF!</v>
      </c>
      <c r="D72" s="2" t="e">
        <f>LoRa_RxDone_OK!D72</f>
        <v>#REF!</v>
      </c>
      <c r="E72" t="e">
        <f>LoRa_RxDone_OK!E72</f>
        <v>#REF!</v>
      </c>
      <c r="F72" t="e">
        <f>LoRa_RxDone_OK!F72</f>
        <v>#REF!</v>
      </c>
      <c r="G72" t="e">
        <f>LoRa_RxDone_OK!G72</f>
        <v>#REF!</v>
      </c>
      <c r="H72" t="e">
        <f>LoRa_RxDone_OK!H72</f>
        <v>#REF!</v>
      </c>
      <c r="I72" s="2" t="e">
        <f>LoRa_RxDone_OK!I72</f>
        <v>#REF!</v>
      </c>
      <c r="J72" t="e">
        <f>LoRa_RxDone_OK!J72</f>
        <v>#REF!</v>
      </c>
    </row>
    <row r="73" spans="2:10" x14ac:dyDescent="0.25">
      <c r="B73" t="e">
        <f>#REF!</f>
        <v>#REF!</v>
      </c>
      <c r="C73" t="e">
        <f>LoRa_RxDone_OK!C73</f>
        <v>#REF!</v>
      </c>
      <c r="D73" s="2" t="e">
        <f>LoRa_RxDone_OK!D73</f>
        <v>#REF!</v>
      </c>
      <c r="E73" t="e">
        <f>LoRa_RxDone_OK!E73</f>
        <v>#REF!</v>
      </c>
      <c r="F73" t="e">
        <f>LoRa_RxDone_OK!F73</f>
        <v>#REF!</v>
      </c>
      <c r="G73" t="e">
        <f>LoRa_RxDone_OK!G73</f>
        <v>#REF!</v>
      </c>
      <c r="H73" t="e">
        <f>LoRa_RxDone_OK!H73</f>
        <v>#REF!</v>
      </c>
      <c r="I73" s="2" t="e">
        <f>LoRa_RxDone_OK!I73</f>
        <v>#REF!</v>
      </c>
      <c r="J73" t="e">
        <f>LoRa_RxDone_OK!J73</f>
        <v>#REF!</v>
      </c>
    </row>
    <row r="74" spans="2:10" x14ac:dyDescent="0.25">
      <c r="B74" t="e">
        <f>#REF!</f>
        <v>#REF!</v>
      </c>
      <c r="C74" t="e">
        <f>LoRa_RxDone_OK!C74</f>
        <v>#REF!</v>
      </c>
      <c r="D74" s="2" t="e">
        <f>LoRa_RxDone_OK!D74</f>
        <v>#REF!</v>
      </c>
      <c r="E74" t="e">
        <f>LoRa_RxDone_OK!E74</f>
        <v>#REF!</v>
      </c>
      <c r="F74" t="e">
        <f>LoRa_RxDone_OK!F74</f>
        <v>#REF!</v>
      </c>
      <c r="G74" t="e">
        <f>LoRa_RxDone_OK!G74</f>
        <v>#REF!</v>
      </c>
      <c r="H74" t="e">
        <f>LoRa_RxDone_OK!H74</f>
        <v>#REF!</v>
      </c>
      <c r="I74" s="2" t="e">
        <f>LoRa_RxDone_OK!I74</f>
        <v>#REF!</v>
      </c>
      <c r="J74" t="e">
        <f>LoRa_RxDone_OK!J74</f>
        <v>#REF!</v>
      </c>
    </row>
    <row r="75" spans="2:10" x14ac:dyDescent="0.25">
      <c r="B75" t="e">
        <f>#REF!</f>
        <v>#REF!</v>
      </c>
      <c r="C75" t="e">
        <f>LoRa_RxDone_OK!C75</f>
        <v>#REF!</v>
      </c>
      <c r="D75" s="2" t="e">
        <f>LoRa_RxDone_OK!D75</f>
        <v>#REF!</v>
      </c>
      <c r="E75" t="e">
        <f>LoRa_RxDone_OK!E75</f>
        <v>#REF!</v>
      </c>
      <c r="F75" t="e">
        <f>LoRa_RxDone_OK!F75</f>
        <v>#REF!</v>
      </c>
      <c r="G75" t="e">
        <f>LoRa_RxDone_OK!G75</f>
        <v>#REF!</v>
      </c>
      <c r="H75" t="e">
        <f>LoRa_RxDone_OK!H75</f>
        <v>#REF!</v>
      </c>
      <c r="I75" s="2" t="e">
        <f>LoRa_RxDone_OK!I75</f>
        <v>#REF!</v>
      </c>
      <c r="J75" t="e">
        <f>LoRa_RxDone_OK!J75</f>
        <v>#REF!</v>
      </c>
    </row>
    <row r="76" spans="2:10" x14ac:dyDescent="0.25">
      <c r="B76" t="e">
        <f>#REF!</f>
        <v>#REF!</v>
      </c>
      <c r="C76" t="e">
        <f>LoRa_RxDone_OK!C76</f>
        <v>#REF!</v>
      </c>
      <c r="D76" s="2" t="e">
        <f>LoRa_RxDone_OK!D76</f>
        <v>#REF!</v>
      </c>
      <c r="E76" t="e">
        <f>LoRa_RxDone_OK!E76</f>
        <v>#REF!</v>
      </c>
      <c r="F76" t="e">
        <f>LoRa_RxDone_OK!F76</f>
        <v>#REF!</v>
      </c>
      <c r="G76" t="e">
        <f>LoRa_RxDone_OK!G76</f>
        <v>#REF!</v>
      </c>
      <c r="H76" t="e">
        <f>LoRa_RxDone_OK!H76</f>
        <v>#REF!</v>
      </c>
      <c r="I76" s="2" t="e">
        <f>LoRa_RxDone_OK!I76</f>
        <v>#REF!</v>
      </c>
      <c r="J76" t="e">
        <f>LoRa_RxDone_OK!J76</f>
        <v>#REF!</v>
      </c>
    </row>
    <row r="77" spans="2:10" x14ac:dyDescent="0.25">
      <c r="B77" t="e">
        <f>#REF!</f>
        <v>#REF!</v>
      </c>
      <c r="C77" t="e">
        <f>LoRa_RxDone_OK!C77</f>
        <v>#REF!</v>
      </c>
      <c r="D77" s="2" t="e">
        <f>LoRa_RxDone_OK!D77</f>
        <v>#REF!</v>
      </c>
      <c r="E77" t="e">
        <f>LoRa_RxDone_OK!E77</f>
        <v>#REF!</v>
      </c>
      <c r="F77" t="e">
        <f>LoRa_RxDone_OK!F77</f>
        <v>#REF!</v>
      </c>
      <c r="G77" t="e">
        <f>LoRa_RxDone_OK!G77</f>
        <v>#REF!</v>
      </c>
      <c r="H77" t="e">
        <f>LoRa_RxDone_OK!H77</f>
        <v>#REF!</v>
      </c>
      <c r="I77" s="2" t="e">
        <f>LoRa_RxDone_OK!I77</f>
        <v>#REF!</v>
      </c>
      <c r="J77" t="e">
        <f>LoRa_RxDone_OK!J77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LoRa_RxDone_OK!C1" display="RADIO_RxDone_OK" xr:uid="{B65D6BEB-EF5B-4D38-8B21-3D7C67286D4C}"/>
    <hyperlink ref="C20" location="RADIO_RxDone_DATA!C1" display="RADIO_RxDone" xr:uid="{029F6EB3-2334-4EF2-8F94-07576B892CBA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 t="e">
        <f>#REF!</f>
        <v>#REF!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 t="e">
        <f>#REF!</f>
        <v>#REF!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 t="e">
        <f>#REF!</f>
        <v>#REF!</v>
      </c>
      <c r="C5" t="str">
        <f>LoRa_TxDone_DATA!C5</f>
        <v>flags</v>
      </c>
      <c r="D5" s="2" t="str">
        <f>LoRa_TxDone_DATA!E5</f>
        <v>RADIO_FLAG_RECEIVING</v>
      </c>
      <c r="E5" s="12" t="s">
        <v>71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 t="e">
        <f>#REF!</f>
        <v>#REF!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 t="e">
        <f>#REF!</f>
        <v>#REF!</v>
      </c>
      <c r="C8" s="20" t="s">
        <v>21</v>
      </c>
      <c r="D8" s="29" t="s">
        <v>114</v>
      </c>
      <c r="E8" s="21" t="s">
        <v>115</v>
      </c>
      <c r="F8" s="22" t="s">
        <v>176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174</v>
      </c>
      <c r="C9" s="20"/>
      <c r="D9" s="29"/>
      <c r="E9" s="21"/>
      <c r="F9" s="22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 t="e">
        <f>#REF!</f>
        <v>#REF!</v>
      </c>
      <c r="C22" s="33" t="s">
        <v>179</v>
      </c>
      <c r="D22" s="29"/>
      <c r="E22" s="21"/>
      <c r="F22" s="22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 t="e">
        <f>#REF!</f>
        <v>#REF!</v>
      </c>
      <c r="C23" s="33" t="s">
        <v>180</v>
      </c>
      <c r="D23" s="29"/>
      <c r="E23" s="21"/>
      <c r="F23" s="22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 t="e">
        <f>#REF!</f>
        <v>#REF!</v>
      </c>
      <c r="C25" t="str">
        <f>LoRa_TxDone_DATA!C25</f>
        <v>DATA</v>
      </c>
      <c r="D25" s="2" t="str">
        <f>LoRa_TxDone_DATA!D25</f>
        <v>LoRa_Bufor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e">
        <f>#REF!</f>
        <v>#REF!</v>
      </c>
      <c r="C26" t="str">
        <f>LoRa_TxDone_DATA!C26</f>
        <v>mode</v>
      </c>
      <c r="D26" s="6" t="s">
        <v>134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 t="e">
        <f>#REF!</f>
        <v>#REF!</v>
      </c>
      <c r="C27" t="str">
        <f>LoRa_TxDone_DATA!C27</f>
        <v>modulation</v>
      </c>
      <c r="D27" s="6" t="s">
        <v>100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 t="e">
        <f>#REF!</f>
        <v>#REF!</v>
      </c>
      <c r="C28" t="str">
        <f>LoRa_TxDone_DATA!C28</f>
        <v>frequency</v>
      </c>
      <c r="D28" s="2" t="str">
        <f>LoRa_TxDone_DATA!D28</f>
        <v>freq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 t="e">
        <f>#REF!</f>
        <v>#REF!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 t="e">
        <f>#REF!</f>
        <v>#REF!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 t="e">
        <f>#REF!</f>
        <v>#REF!</v>
      </c>
      <c r="C31" t="str">
        <f>LoRa_TxDone_DATA!C31</f>
        <v>SpreadingFactor</v>
      </c>
      <c r="D31" s="2" t="str">
        <f>LoRa_TxDone_DATA!D31</f>
        <v>spreadingFactor[dataRate]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 t="e">
        <f>#REF!</f>
        <v>#REF!</v>
      </c>
      <c r="C32" t="str">
        <f>LoRa_TxDone_DATA!C32</f>
        <v>Bandwidth</v>
      </c>
      <c r="D32" s="2" t="str">
        <f>LoRa_TxDone_DATA!D32</f>
        <v>bandwidth[dataRate]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 t="e">
        <f>#REF!</f>
        <v>#REF!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 t="e">
        <f>#REF!</f>
        <v>#REF!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freq</v>
      </c>
      <c r="J34">
        <f>LoRa_TxDone_DATA!J34</f>
        <v>0</v>
      </c>
    </row>
    <row r="35" spans="2:10" x14ac:dyDescent="0.25">
      <c r="B35" t="e">
        <f>#REF!</f>
        <v>#REF!</v>
      </c>
      <c r="C35" t="str">
        <f>LoRa_TxDone_DATA!C35</f>
        <v>IQInverted</v>
      </c>
      <c r="D35" s="2" t="str">
        <f>LoRa_TxDone_DATA!D35</f>
        <v>DISABLED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 t="e">
        <f>#REF!</f>
        <v>#REF!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 t="e">
        <f>#REF!</f>
        <v>#REF!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 t="e">
        <f>#REF!</f>
        <v>#REF!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 t="e">
        <f>#REF!</f>
        <v>#REF!</v>
      </c>
      <c r="C39" t="str">
        <f>LoRa_TxDone_DATA!C39</f>
        <v>preambleLen</v>
      </c>
      <c r="D39" s="2">
        <f>LoRa_TxDone_DATA!D39</f>
        <v>4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 t="e">
        <f>#REF!</f>
        <v>#REF!</v>
      </c>
      <c r="C40" t="str">
        <f>LoRa_TxDone_DATA!C40</f>
        <v>symbolTimeout</v>
      </c>
      <c r="D40" s="2">
        <f>LoRa_TxDone_DATA!D40</f>
        <v>25000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 t="e">
        <f>#REF!</f>
        <v>#REF!</v>
      </c>
      <c r="C41" t="str">
        <f>LoRa_TxDone_DATA!C41</f>
        <v>FSKfreqDeviation</v>
      </c>
      <c r="D41" s="2">
        <f>LoRa_TxDone_DATA!D41</f>
        <v>50000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modulation[dataRate]</v>
      </c>
      <c r="J41">
        <f>LoRa_TxDone_DATA!J41</f>
        <v>0</v>
      </c>
    </row>
    <row r="42" spans="2:10" x14ac:dyDescent="0.25">
      <c r="B42" t="e">
        <f>#REF!</f>
        <v>#REF!</v>
      </c>
      <c r="C42" t="str">
        <f>LoRa_TxDone_DATA!C42</f>
        <v>FSKBitRate</v>
      </c>
      <c r="D42" s="2">
        <f>LoRa_TxDone_DATA!D42</f>
        <v>8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spreadingFactor[dataRate]</v>
      </c>
      <c r="J42">
        <f>LoRa_TxDone_DATA!J42</f>
        <v>0</v>
      </c>
    </row>
    <row r="43" spans="2:10" x14ac:dyDescent="0.25">
      <c r="B43" t="e">
        <f>#REF!</f>
        <v>#REF!</v>
      </c>
      <c r="C43" t="str">
        <f>LoRa_TxDone_DATA!C43</f>
        <v>FSK_PREAMBLE</v>
      </c>
      <c r="D43" s="2" t="str">
        <f>LoRa_TxDone_DATA!D43</f>
        <v>FSK_SHAPING_GAUSS_BT_0_5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bandwidth[dataRate]</v>
      </c>
      <c r="J43">
        <f>LoRa_TxDone_DATA!J43</f>
        <v>0</v>
      </c>
    </row>
    <row r="44" spans="2:10" x14ac:dyDescent="0.25">
      <c r="B44" t="e">
        <f>#REF!</f>
        <v>#REF!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 t="e">
        <f>#REF!</f>
        <v>#REF!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 t="e">
        <f>#REF!</f>
        <v>#REF!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 t="e">
        <f>#REF!</f>
        <v>#REF!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71</v>
      </c>
      <c r="J47" s="12" t="s">
        <v>71</v>
      </c>
    </row>
    <row r="48" spans="2:10" x14ac:dyDescent="0.25">
      <c r="B48" t="e">
        <f>#REF!</f>
        <v>#REF!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 t="e">
        <f>#REF!</f>
        <v>#REF!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 t="e">
        <f>#REF!</f>
        <v>#REF!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 t="e">
        <f>#REF!</f>
        <v>#REF!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 t="e">
        <f>#REF!</f>
        <v>#REF!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 t="e">
        <f>#REF!</f>
        <v>#REF!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LEN</v>
      </c>
      <c r="J53">
        <f>LoRa_TxDone_DATA!J53</f>
        <v>0</v>
      </c>
    </row>
    <row r="54" spans="2:10" x14ac:dyDescent="0.25">
      <c r="B54" t="e">
        <f>#REF!</f>
        <v>#REF!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LoRa_radioBuffer</v>
      </c>
      <c r="J54">
        <f>LoRa_TxDone_DATA!J54</f>
        <v>0</v>
      </c>
    </row>
    <row r="55" spans="2:10" x14ac:dyDescent="0.25">
      <c r="B55" t="e">
        <f>#REF!</f>
        <v>#REF!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 t="e">
        <f>#REF!</f>
        <v>#REF!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 t="e">
        <f>#REF!</f>
        <v>#REF!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71</v>
      </c>
      <c r="J57" t="str">
        <f>LoRa_TxDone_DATA!J57</f>
        <v>RADIO_WatchdogTimeout</v>
      </c>
    </row>
    <row r="58" spans="2:10" x14ac:dyDescent="0.25">
      <c r="B58" t="e">
        <f>#REF!</f>
        <v>#REF!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 t="e">
        <f>#REF!</f>
        <v>#REF!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 t="e">
        <f>#REF!</f>
        <v>#REF!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2:10" x14ac:dyDescent="0.25">
      <c r="B61" t="e">
        <f>#REF!</f>
        <v>#REF!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2:10" x14ac:dyDescent="0.25">
      <c r="B62" t="e">
        <f>#REF!</f>
        <v>#REF!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SNR</v>
      </c>
      <c r="J62">
        <f>LoRa_TxDone_DATA!J62</f>
        <v>0</v>
      </c>
    </row>
    <row r="63" spans="2:10" x14ac:dyDescent="0.25">
      <c r="B63" t="e">
        <f>#REF!</f>
        <v>#REF!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 t="e">
        <f>#REF!</f>
        <v>#REF!</v>
      </c>
      <c r="C64" t="e">
        <f>LoRa_TxDone_DATA!C64</f>
        <v>#REF!</v>
      </c>
      <c r="D64" s="2" t="e">
        <f>LoRa_TxDone_DATA!D64</f>
        <v>#REF!</v>
      </c>
      <c r="E64" t="e">
        <f>LoRa_TxDone_DATA!E64</f>
        <v>#REF!</v>
      </c>
      <c r="F64" t="e">
        <f>LoRa_TxDone_DATA!F64</f>
        <v>#REF!</v>
      </c>
      <c r="G64" t="e">
        <f>LoRa_TxDone_DATA!G64</f>
        <v>#REF!</v>
      </c>
      <c r="H64" t="e">
        <f>LoRa_TxDone_DATA!H64</f>
        <v>#REF!</v>
      </c>
      <c r="I64" s="2" t="e">
        <f>LoRa_TxDone_DATA!I64</f>
        <v>#REF!</v>
      </c>
      <c r="J64" t="e">
        <f>LoRa_TxDone_DATA!J64</f>
        <v>#REF!</v>
      </c>
    </row>
    <row r="65" spans="2:10" x14ac:dyDescent="0.25">
      <c r="B65" t="e">
        <f>#REF!</f>
        <v>#REF!</v>
      </c>
      <c r="C65" t="e">
        <f>LoRa_TxDone_DATA!C65</f>
        <v>#REF!</v>
      </c>
      <c r="D65" s="2" t="e">
        <f>LoRa_TxDone_DATA!D65</f>
        <v>#REF!</v>
      </c>
      <c r="E65" t="e">
        <f>LoRa_TxDone_DATA!E65</f>
        <v>#REF!</v>
      </c>
      <c r="F65" t="e">
        <f>LoRa_TxDone_DATA!F65</f>
        <v>#REF!</v>
      </c>
      <c r="G65" t="e">
        <f>LoRa_TxDone_DATA!G65</f>
        <v>#REF!</v>
      </c>
      <c r="H65" t="e">
        <f>LoRa_TxDone_DATA!H65</f>
        <v>#REF!</v>
      </c>
      <c r="I65" s="2" t="e">
        <f>LoRa_TxDone_DATA!I65</f>
        <v>#REF!</v>
      </c>
      <c r="J65" t="e">
        <f>LoRa_TxDone_DATA!J65</f>
        <v>#REF!</v>
      </c>
    </row>
    <row r="66" spans="2:10" x14ac:dyDescent="0.25">
      <c r="B66" t="e">
        <f>#REF!</f>
        <v>#REF!</v>
      </c>
      <c r="C66" t="e">
        <f>LoRa_TxDone_DATA!C66</f>
        <v>#REF!</v>
      </c>
      <c r="D66" s="2" t="e">
        <f>LoRa_TxDone_DATA!D66</f>
        <v>#REF!</v>
      </c>
      <c r="E66" t="e">
        <f>LoRa_TxDone_DATA!E66</f>
        <v>#REF!</v>
      </c>
      <c r="F66" t="e">
        <f>LoRa_TxDone_DATA!F66</f>
        <v>#REF!</v>
      </c>
      <c r="G66" t="e">
        <f>LoRa_TxDone_DATA!G66</f>
        <v>#REF!</v>
      </c>
      <c r="H66" t="e">
        <f>LoRa_TxDone_DATA!H66</f>
        <v>#REF!</v>
      </c>
      <c r="I66" s="2" t="e">
        <f>LoRa_TxDone_DATA!I66</f>
        <v>#REF!</v>
      </c>
      <c r="J66" t="e">
        <f>LoRa_TxDone_DATA!J66</f>
        <v>#REF!</v>
      </c>
    </row>
    <row r="67" spans="2:10" x14ac:dyDescent="0.25">
      <c r="B67" t="e">
        <f>#REF!</f>
        <v>#REF!</v>
      </c>
      <c r="C67" t="e">
        <f>LoRa_TxDone_DATA!C67</f>
        <v>#REF!</v>
      </c>
      <c r="D67" s="2" t="e">
        <f>LoRa_TxDone_DATA!D67</f>
        <v>#REF!</v>
      </c>
      <c r="E67" t="e">
        <f>LoRa_TxDone_DATA!E67</f>
        <v>#REF!</v>
      </c>
      <c r="F67" t="e">
        <f>LoRa_TxDone_DATA!F67</f>
        <v>#REF!</v>
      </c>
      <c r="G67" t="e">
        <f>LoRa_TxDone_DATA!G67</f>
        <v>#REF!</v>
      </c>
      <c r="H67" t="e">
        <f>LoRa_TxDone_DATA!H67</f>
        <v>#REF!</v>
      </c>
      <c r="I67" s="2" t="e">
        <f>LoRa_TxDone_DATA!I67</f>
        <v>#REF!</v>
      </c>
      <c r="J67" t="e">
        <f>LoRa_TxDone_DATA!J67</f>
        <v>#REF!</v>
      </c>
    </row>
    <row r="68" spans="2:10" x14ac:dyDescent="0.25">
      <c r="B68" t="e">
        <f>#REF!</f>
        <v>#REF!</v>
      </c>
      <c r="C68" t="e">
        <f>LoRa_TxDone_DATA!C68</f>
        <v>#REF!</v>
      </c>
      <c r="D68" s="2" t="e">
        <f>LoRa_TxDone_DATA!D68</f>
        <v>#REF!</v>
      </c>
      <c r="E68" t="e">
        <f>LoRa_TxDone_DATA!E68</f>
        <v>#REF!</v>
      </c>
      <c r="F68" t="e">
        <f>LoRa_TxDone_DATA!F68</f>
        <v>#REF!</v>
      </c>
      <c r="G68" t="e">
        <f>LoRa_TxDone_DATA!G68</f>
        <v>#REF!</v>
      </c>
      <c r="H68" t="e">
        <f>LoRa_TxDone_DATA!H68</f>
        <v>#REF!</v>
      </c>
      <c r="I68" s="2" t="e">
        <f>LoRa_TxDone_DATA!I68</f>
        <v>#REF!</v>
      </c>
      <c r="J68" t="e">
        <f>LoRa_TxDone_DATA!J68</f>
        <v>#REF!</v>
      </c>
    </row>
    <row r="69" spans="2:10" x14ac:dyDescent="0.25">
      <c r="B69" t="e">
        <f>#REF!</f>
        <v>#REF!</v>
      </c>
      <c r="C69" t="e">
        <f>LoRa_TxDone_DATA!C69</f>
        <v>#REF!</v>
      </c>
      <c r="D69" s="2" t="e">
        <f>LoRa_TxDone_DATA!D69</f>
        <v>#REF!</v>
      </c>
      <c r="E69" t="e">
        <f>LoRa_TxDone_DATA!E69</f>
        <v>#REF!</v>
      </c>
      <c r="F69" t="e">
        <f>LoRa_TxDone_DATA!F69</f>
        <v>#REF!</v>
      </c>
      <c r="G69" t="e">
        <f>LoRa_TxDone_DATA!G69</f>
        <v>#REF!</v>
      </c>
      <c r="H69" t="e">
        <f>LoRa_TxDone_DATA!H69</f>
        <v>#REF!</v>
      </c>
      <c r="I69" s="2" t="e">
        <f>LoRa_TxDone_DATA!I69</f>
        <v>#REF!</v>
      </c>
      <c r="J69" t="e">
        <f>LoRa_TxDone_DATA!J69</f>
        <v>#REF!</v>
      </c>
    </row>
    <row r="70" spans="2:10" x14ac:dyDescent="0.25">
      <c r="B70" t="e">
        <f>#REF!</f>
        <v>#REF!</v>
      </c>
      <c r="C70" t="e">
        <f>LoRa_TxDone_DATA!C70</f>
        <v>#REF!</v>
      </c>
      <c r="D70" s="2" t="e">
        <f>LoRa_TxDone_DATA!D70</f>
        <v>#REF!</v>
      </c>
      <c r="E70" t="e">
        <f>LoRa_TxDone_DATA!E70</f>
        <v>#REF!</v>
      </c>
      <c r="F70" t="e">
        <f>LoRa_TxDone_DATA!F70</f>
        <v>#REF!</v>
      </c>
      <c r="G70" t="e">
        <f>LoRa_TxDone_DATA!G70</f>
        <v>#REF!</v>
      </c>
      <c r="H70" t="e">
        <f>LoRa_TxDone_DATA!H70</f>
        <v>#REF!</v>
      </c>
      <c r="I70" s="2" t="e">
        <f>LoRa_TxDone_DATA!I70</f>
        <v>#REF!</v>
      </c>
      <c r="J70" t="e">
        <f>LoRa_TxDone_DATA!J70</f>
        <v>#REF!</v>
      </c>
    </row>
    <row r="71" spans="2:10" x14ac:dyDescent="0.25">
      <c r="B71" t="e">
        <f>#REF!</f>
        <v>#REF!</v>
      </c>
      <c r="C71" t="e">
        <f>LoRa_TxDone_DATA!C71</f>
        <v>#REF!</v>
      </c>
      <c r="D71" s="2" t="e">
        <f>LoRa_TxDone_DATA!D71</f>
        <v>#REF!</v>
      </c>
      <c r="E71" t="e">
        <f>LoRa_TxDone_DATA!E71</f>
        <v>#REF!</v>
      </c>
      <c r="F71" t="e">
        <f>LoRa_TxDone_DATA!F71</f>
        <v>#REF!</v>
      </c>
      <c r="G71" t="e">
        <f>LoRa_TxDone_DATA!G71</f>
        <v>#REF!</v>
      </c>
      <c r="H71" t="e">
        <f>LoRa_TxDone_DATA!H71</f>
        <v>#REF!</v>
      </c>
      <c r="I71" s="2" t="e">
        <f>LoRa_TxDone_DATA!I71</f>
        <v>#REF!</v>
      </c>
      <c r="J71" t="e">
        <f>LoRa_TxDone_DATA!J71</f>
        <v>#REF!</v>
      </c>
    </row>
    <row r="72" spans="2:10" x14ac:dyDescent="0.25">
      <c r="B72" t="e">
        <f>#REF!</f>
        <v>#REF!</v>
      </c>
      <c r="C72" t="e">
        <f>LoRa_TxDone_DATA!C72</f>
        <v>#REF!</v>
      </c>
      <c r="D72" s="2" t="e">
        <f>LoRa_TxDone_DATA!D72</f>
        <v>#REF!</v>
      </c>
      <c r="E72" t="e">
        <f>LoRa_TxDone_DATA!E72</f>
        <v>#REF!</v>
      </c>
      <c r="F72" t="e">
        <f>LoRa_TxDone_DATA!F72</f>
        <v>#REF!</v>
      </c>
      <c r="G72" t="e">
        <f>LoRa_TxDone_DATA!G72</f>
        <v>#REF!</v>
      </c>
      <c r="H72" t="e">
        <f>LoRa_TxDone_DATA!H72</f>
        <v>#REF!</v>
      </c>
      <c r="I72" s="2" t="e">
        <f>LoRa_TxDone_DATA!I72</f>
        <v>#REF!</v>
      </c>
      <c r="J72" t="e">
        <f>LoRa_TxDone_DATA!J72</f>
        <v>#REF!</v>
      </c>
    </row>
    <row r="73" spans="2:10" x14ac:dyDescent="0.25">
      <c r="B73" t="e">
        <f>#REF!</f>
        <v>#REF!</v>
      </c>
      <c r="C73" t="e">
        <f>LoRa_TxDone_DATA!C73</f>
        <v>#REF!</v>
      </c>
      <c r="D73" s="2" t="e">
        <f>LoRa_TxDone_DATA!D73</f>
        <v>#REF!</v>
      </c>
      <c r="E73" t="e">
        <f>LoRa_TxDone_DATA!E73</f>
        <v>#REF!</v>
      </c>
      <c r="F73" t="e">
        <f>LoRa_TxDone_DATA!F73</f>
        <v>#REF!</v>
      </c>
      <c r="G73" t="e">
        <f>LoRa_TxDone_DATA!G73</f>
        <v>#REF!</v>
      </c>
      <c r="H73" t="e">
        <f>LoRa_TxDone_DATA!H73</f>
        <v>#REF!</v>
      </c>
      <c r="I73" s="2" t="e">
        <f>LoRa_TxDone_DATA!I73</f>
        <v>#REF!</v>
      </c>
      <c r="J73" t="e">
        <f>LoRa_TxDone_DATA!J73</f>
        <v>#REF!</v>
      </c>
    </row>
    <row r="74" spans="2:10" x14ac:dyDescent="0.25">
      <c r="B74" t="e">
        <f>#REF!</f>
        <v>#REF!</v>
      </c>
      <c r="C74" t="e">
        <f>LoRa_TxDone_DATA!C74</f>
        <v>#REF!</v>
      </c>
      <c r="D74" s="2" t="e">
        <f>LoRa_TxDone_DATA!D74</f>
        <v>#REF!</v>
      </c>
      <c r="E74" t="e">
        <f>LoRa_TxDone_DATA!E74</f>
        <v>#REF!</v>
      </c>
      <c r="F74" t="e">
        <f>LoRa_TxDone_DATA!F74</f>
        <v>#REF!</v>
      </c>
      <c r="G74" t="e">
        <f>LoRa_TxDone_DATA!G74</f>
        <v>#REF!</v>
      </c>
      <c r="H74" t="e">
        <f>LoRa_TxDone_DATA!H74</f>
        <v>#REF!</v>
      </c>
      <c r="I74" s="2" t="e">
        <f>LoRa_TxDone_DATA!I74</f>
        <v>#REF!</v>
      </c>
      <c r="J74" t="e">
        <f>LoRa_TxDone_DATA!J74</f>
        <v>#REF!</v>
      </c>
    </row>
    <row r="75" spans="2:10" x14ac:dyDescent="0.25">
      <c r="B75" t="e">
        <f>#REF!</f>
        <v>#REF!</v>
      </c>
      <c r="C75" t="e">
        <f>LoRa_TxDone_DATA!C75</f>
        <v>#REF!</v>
      </c>
      <c r="D75" s="2" t="e">
        <f>LoRa_TxDone_DATA!D75</f>
        <v>#REF!</v>
      </c>
      <c r="E75" t="e">
        <f>LoRa_TxDone_DATA!E75</f>
        <v>#REF!</v>
      </c>
      <c r="F75" t="e">
        <f>LoRa_TxDone_DATA!F75</f>
        <v>#REF!</v>
      </c>
      <c r="G75" t="e">
        <f>LoRa_TxDone_DATA!G75</f>
        <v>#REF!</v>
      </c>
      <c r="H75" t="e">
        <f>LoRa_TxDone_DATA!H75</f>
        <v>#REF!</v>
      </c>
      <c r="I75" s="2" t="e">
        <f>LoRa_TxDone_DATA!I75</f>
        <v>#REF!</v>
      </c>
      <c r="J75" t="e">
        <f>LoRa_TxDone_DATA!J75</f>
        <v>#REF!</v>
      </c>
    </row>
    <row r="76" spans="2:10" x14ac:dyDescent="0.25">
      <c r="B76" t="e">
        <f>#REF!</f>
        <v>#REF!</v>
      </c>
      <c r="C76" t="e">
        <f>LoRa_TxDone_DATA!C76</f>
        <v>#REF!</v>
      </c>
      <c r="D76" s="2" t="e">
        <f>LoRa_TxDone_DATA!D76</f>
        <v>#REF!</v>
      </c>
      <c r="E76" t="e">
        <f>LoRa_TxDone_DATA!E76</f>
        <v>#REF!</v>
      </c>
      <c r="F76" t="e">
        <f>LoRa_TxDone_DATA!F76</f>
        <v>#REF!</v>
      </c>
      <c r="G76" t="e">
        <f>LoRa_TxDone_DATA!G76</f>
        <v>#REF!</v>
      </c>
      <c r="H76" t="e">
        <f>LoRa_TxDone_DATA!H76</f>
        <v>#REF!</v>
      </c>
      <c r="I76" s="2" t="e">
        <f>LoRa_TxDone_DATA!I76</f>
        <v>#REF!</v>
      </c>
      <c r="J76" t="e">
        <f>LoRa_TxDone_DATA!J76</f>
        <v>#REF!</v>
      </c>
    </row>
    <row r="77" spans="2:10" x14ac:dyDescent="0.25">
      <c r="B77" t="e">
        <f>#REF!</f>
        <v>#REF!</v>
      </c>
      <c r="C77" t="e">
        <f>LoRa_TxDone_DATA!C77</f>
        <v>#REF!</v>
      </c>
      <c r="D77" s="2" t="e">
        <f>LoRa_TxDone_DATA!D77</f>
        <v>#REF!</v>
      </c>
      <c r="E77" t="e">
        <f>LoRa_TxDone_DATA!E77</f>
        <v>#REF!</v>
      </c>
      <c r="F77" t="e">
        <f>LoRa_TxDone_DATA!F77</f>
        <v>#REF!</v>
      </c>
      <c r="G77" t="e">
        <f>LoRa_TxDone_DATA!G77</f>
        <v>#REF!</v>
      </c>
      <c r="H77" t="e">
        <f>LoRa_TxDone_DATA!H77</f>
        <v>#REF!</v>
      </c>
      <c r="I77" s="2" t="e">
        <f>LoRa_TxDone_DATA!I77</f>
        <v>#REF!</v>
      </c>
      <c r="J77" t="e">
        <f>LoRa_TxDone_DATA!J77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173</v>
      </c>
      <c r="D1" s="2" t="s">
        <v>8</v>
      </c>
      <c r="E1" s="2" t="s">
        <v>9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118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182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178</v>
      </c>
      <c r="C9" s="20" t="s">
        <v>181</v>
      </c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8" t="s">
        <v>71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172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71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71</v>
      </c>
      <c r="J57" t="str">
        <f>RADIO_RxDone_DATA!J57</f>
        <v>RADIO_WatchdogTimeout</v>
      </c>
    </row>
    <row r="58" spans="2:10" x14ac:dyDescent="0.25">
      <c r="B58" t="e">
        <f>#REF!</f>
        <v>#REF!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 t="e">
        <f>#REF!</f>
        <v>#REF!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 t="e">
        <f>#REF!</f>
        <v>#REF!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2:10" x14ac:dyDescent="0.25">
      <c r="B61" t="e">
        <f>#REF!</f>
        <v>#REF!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2:10" x14ac:dyDescent="0.25">
      <c r="B62" t="e">
        <f>#REF!</f>
        <v>#REF!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 t="e">
        <f>#REF!</f>
        <v>#REF!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 t="e">
        <f>#REF!</f>
        <v>#REF!</v>
      </c>
      <c r="C64" t="e">
        <f>RADIO_RxDone_DATA!C64</f>
        <v>#REF!</v>
      </c>
      <c r="D64" s="2" t="e">
        <f>RADIO_RxDone_DATA!D64</f>
        <v>#REF!</v>
      </c>
      <c r="E64" t="e">
        <f>RADIO_RxDone_DATA!E64</f>
        <v>#REF!</v>
      </c>
      <c r="F64" t="e">
        <f>RADIO_RxDone_DATA!F64</f>
        <v>#REF!</v>
      </c>
      <c r="G64" t="e">
        <f>RADIO_RxDone_DATA!G64</f>
        <v>#REF!</v>
      </c>
      <c r="H64" t="e">
        <f>RADIO_RxDone_DATA!H64</f>
        <v>#REF!</v>
      </c>
      <c r="I64" s="2" t="e">
        <f>RADIO_RxDone_DATA!I64</f>
        <v>#REF!</v>
      </c>
      <c r="J64" t="e">
        <f>RADIO_RxDone_DATA!J64</f>
        <v>#REF!</v>
      </c>
    </row>
    <row r="65" spans="2:10" x14ac:dyDescent="0.25">
      <c r="B65" t="e">
        <f>#REF!</f>
        <v>#REF!</v>
      </c>
      <c r="C65" t="e">
        <f>RADIO_RxDone_DATA!C65</f>
        <v>#REF!</v>
      </c>
      <c r="D65" s="2" t="e">
        <f>RADIO_RxDone_DATA!D65</f>
        <v>#REF!</v>
      </c>
      <c r="E65" t="e">
        <f>RADIO_RxDone_DATA!E65</f>
        <v>#REF!</v>
      </c>
      <c r="F65" t="e">
        <f>RADIO_RxDone_DATA!F65</f>
        <v>#REF!</v>
      </c>
      <c r="G65" t="e">
        <f>RADIO_RxDone_DATA!G65</f>
        <v>#REF!</v>
      </c>
      <c r="H65" t="e">
        <f>RADIO_RxDone_DATA!H65</f>
        <v>#REF!</v>
      </c>
      <c r="I65" s="2" t="e">
        <f>RADIO_RxDone_DATA!I65</f>
        <v>#REF!</v>
      </c>
      <c r="J65" t="e">
        <f>RADIO_RxDone_DATA!J65</f>
        <v>#REF!</v>
      </c>
    </row>
    <row r="66" spans="2:10" x14ac:dyDescent="0.25">
      <c r="B66" t="e">
        <f>#REF!</f>
        <v>#REF!</v>
      </c>
      <c r="C66" t="e">
        <f>RADIO_RxDone_DATA!C66</f>
        <v>#REF!</v>
      </c>
      <c r="D66" s="2" t="e">
        <f>RADIO_RxDone_DATA!D66</f>
        <v>#REF!</v>
      </c>
      <c r="E66" t="e">
        <f>RADIO_RxDone_DATA!E66</f>
        <v>#REF!</v>
      </c>
      <c r="F66" t="e">
        <f>RADIO_RxDone_DATA!F66</f>
        <v>#REF!</v>
      </c>
      <c r="G66" t="e">
        <f>RADIO_RxDone_DATA!G66</f>
        <v>#REF!</v>
      </c>
      <c r="H66" t="e">
        <f>RADIO_RxDone_DATA!H66</f>
        <v>#REF!</v>
      </c>
      <c r="I66" s="2" t="e">
        <f>RADIO_RxDone_DATA!I66</f>
        <v>#REF!</v>
      </c>
      <c r="J66" t="e">
        <f>RADIO_RxDone_DATA!J66</f>
        <v>#REF!</v>
      </c>
    </row>
    <row r="67" spans="2:10" x14ac:dyDescent="0.25">
      <c r="B67" t="e">
        <f>#REF!</f>
        <v>#REF!</v>
      </c>
      <c r="C67" t="e">
        <f>RADIO_RxDone_DATA!C67</f>
        <v>#REF!</v>
      </c>
      <c r="D67" s="2" t="e">
        <f>RADIO_RxDone_DATA!D67</f>
        <v>#REF!</v>
      </c>
      <c r="E67" t="e">
        <f>RADIO_RxDone_DATA!E67</f>
        <v>#REF!</v>
      </c>
      <c r="F67" t="e">
        <f>RADIO_RxDone_DATA!F67</f>
        <v>#REF!</v>
      </c>
      <c r="G67" t="e">
        <f>RADIO_RxDone_DATA!G67</f>
        <v>#REF!</v>
      </c>
      <c r="H67" t="e">
        <f>RADIO_RxDone_DATA!H67</f>
        <v>#REF!</v>
      </c>
      <c r="I67" s="2" t="e">
        <f>RADIO_RxDone_DATA!I67</f>
        <v>#REF!</v>
      </c>
      <c r="J67" t="e">
        <f>RADIO_RxDone_DATA!J67</f>
        <v>#REF!</v>
      </c>
    </row>
    <row r="68" spans="2:10" x14ac:dyDescent="0.25">
      <c r="B68" t="e">
        <f>#REF!</f>
        <v>#REF!</v>
      </c>
      <c r="C68" t="e">
        <f>RADIO_RxDone_DATA!C68</f>
        <v>#REF!</v>
      </c>
      <c r="D68" s="2" t="e">
        <f>RADIO_RxDone_DATA!D68</f>
        <v>#REF!</v>
      </c>
      <c r="E68" t="e">
        <f>RADIO_RxDone_DATA!E68</f>
        <v>#REF!</v>
      </c>
      <c r="F68" t="e">
        <f>RADIO_RxDone_DATA!F68</f>
        <v>#REF!</v>
      </c>
      <c r="G68" t="e">
        <f>RADIO_RxDone_DATA!G68</f>
        <v>#REF!</v>
      </c>
      <c r="H68" t="e">
        <f>RADIO_RxDone_DATA!H68</f>
        <v>#REF!</v>
      </c>
      <c r="I68" s="2" t="e">
        <f>RADIO_RxDone_DATA!I68</f>
        <v>#REF!</v>
      </c>
      <c r="J68" t="e">
        <f>RADIO_RxDone_DATA!J68</f>
        <v>#REF!</v>
      </c>
    </row>
    <row r="69" spans="2:10" x14ac:dyDescent="0.25">
      <c r="B69" t="e">
        <f>#REF!</f>
        <v>#REF!</v>
      </c>
      <c r="C69" t="e">
        <f>RADIO_RxDone_DATA!C69</f>
        <v>#REF!</v>
      </c>
      <c r="D69" s="2" t="e">
        <f>RADIO_RxDone_DATA!D69</f>
        <v>#REF!</v>
      </c>
      <c r="E69" t="e">
        <f>RADIO_RxDone_DATA!E69</f>
        <v>#REF!</v>
      </c>
      <c r="F69" t="e">
        <f>RADIO_RxDone_DATA!F69</f>
        <v>#REF!</v>
      </c>
      <c r="G69" t="e">
        <f>RADIO_RxDone_DATA!G69</f>
        <v>#REF!</v>
      </c>
      <c r="H69" t="e">
        <f>RADIO_RxDone_DATA!H69</f>
        <v>#REF!</v>
      </c>
      <c r="I69" s="2" t="e">
        <f>RADIO_RxDone_DATA!I69</f>
        <v>#REF!</v>
      </c>
      <c r="J69" t="e">
        <f>RADIO_RxDone_DATA!J69</f>
        <v>#REF!</v>
      </c>
    </row>
    <row r="70" spans="2:10" x14ac:dyDescent="0.25">
      <c r="B70" t="e">
        <f>#REF!</f>
        <v>#REF!</v>
      </c>
      <c r="C70" t="e">
        <f>RADIO_RxDone_DATA!C70</f>
        <v>#REF!</v>
      </c>
      <c r="D70" s="2" t="e">
        <f>RADIO_RxDone_DATA!D70</f>
        <v>#REF!</v>
      </c>
      <c r="E70" t="e">
        <f>RADIO_RxDone_DATA!E70</f>
        <v>#REF!</v>
      </c>
      <c r="F70" t="e">
        <f>RADIO_RxDone_DATA!F70</f>
        <v>#REF!</v>
      </c>
      <c r="G70" t="e">
        <f>RADIO_RxDone_DATA!G70</f>
        <v>#REF!</v>
      </c>
      <c r="H70" t="e">
        <f>RADIO_RxDone_DATA!H70</f>
        <v>#REF!</v>
      </c>
      <c r="I70" s="2" t="e">
        <f>RADIO_RxDone_DATA!I70</f>
        <v>#REF!</v>
      </c>
      <c r="J70" t="e">
        <f>RADIO_RxDone_DATA!J70</f>
        <v>#REF!</v>
      </c>
    </row>
    <row r="71" spans="2:10" x14ac:dyDescent="0.25">
      <c r="B71" t="e">
        <f>#REF!</f>
        <v>#REF!</v>
      </c>
      <c r="C71" t="e">
        <f>RADIO_RxDone_DATA!C71</f>
        <v>#REF!</v>
      </c>
      <c r="D71" s="2" t="e">
        <f>RADIO_RxDone_DATA!D71</f>
        <v>#REF!</v>
      </c>
      <c r="E71" t="e">
        <f>RADIO_RxDone_DATA!E71</f>
        <v>#REF!</v>
      </c>
      <c r="F71" t="e">
        <f>RADIO_RxDone_DATA!F71</f>
        <v>#REF!</v>
      </c>
      <c r="G71" t="e">
        <f>RADIO_RxDone_DATA!G71</f>
        <v>#REF!</v>
      </c>
      <c r="H71" t="e">
        <f>RADIO_RxDone_DATA!H71</f>
        <v>#REF!</v>
      </c>
      <c r="I71" s="2" t="e">
        <f>RADIO_RxDone_DATA!I71</f>
        <v>#REF!</v>
      </c>
      <c r="J71" t="e">
        <f>RADIO_RxDone_DATA!J71</f>
        <v>#REF!</v>
      </c>
    </row>
    <row r="72" spans="2:10" x14ac:dyDescent="0.25">
      <c r="B72" t="e">
        <f>#REF!</f>
        <v>#REF!</v>
      </c>
      <c r="C72" t="e">
        <f>RADIO_RxDone_DATA!C72</f>
        <v>#REF!</v>
      </c>
      <c r="D72" s="2" t="e">
        <f>RADIO_RxDone_DATA!D72</f>
        <v>#REF!</v>
      </c>
      <c r="E72" t="e">
        <f>RADIO_RxDone_DATA!E72</f>
        <v>#REF!</v>
      </c>
      <c r="F72" t="e">
        <f>RADIO_RxDone_DATA!F72</f>
        <v>#REF!</v>
      </c>
      <c r="G72" t="e">
        <f>RADIO_RxDone_DATA!G72</f>
        <v>#REF!</v>
      </c>
      <c r="H72" t="e">
        <f>RADIO_RxDone_DATA!H72</f>
        <v>#REF!</v>
      </c>
      <c r="I72" s="2" t="e">
        <f>RADIO_RxDone_DATA!I72</f>
        <v>#REF!</v>
      </c>
      <c r="J72" t="e">
        <f>RADIO_RxDone_DATA!J72</f>
        <v>#REF!</v>
      </c>
    </row>
    <row r="73" spans="2:10" x14ac:dyDescent="0.25">
      <c r="B73" t="e">
        <f>#REF!</f>
        <v>#REF!</v>
      </c>
      <c r="C73" t="e">
        <f>RADIO_RxDone_DATA!C73</f>
        <v>#REF!</v>
      </c>
      <c r="D73" s="2" t="e">
        <f>RADIO_RxDone_DATA!D73</f>
        <v>#REF!</v>
      </c>
      <c r="E73" t="e">
        <f>RADIO_RxDone_DATA!E73</f>
        <v>#REF!</v>
      </c>
      <c r="F73" t="e">
        <f>RADIO_RxDone_DATA!F73</f>
        <v>#REF!</v>
      </c>
      <c r="G73" t="e">
        <f>RADIO_RxDone_DATA!G73</f>
        <v>#REF!</v>
      </c>
      <c r="H73" t="e">
        <f>RADIO_RxDone_DATA!H73</f>
        <v>#REF!</v>
      </c>
      <c r="I73" s="2" t="e">
        <f>RADIO_RxDone_DATA!I73</f>
        <v>#REF!</v>
      </c>
      <c r="J73" t="e">
        <f>RADIO_RxDone_DATA!J73</f>
        <v>#REF!</v>
      </c>
    </row>
    <row r="74" spans="2:10" x14ac:dyDescent="0.25">
      <c r="B74" t="e">
        <f>#REF!</f>
        <v>#REF!</v>
      </c>
      <c r="C74" t="e">
        <f>RADIO_RxDone_DATA!C74</f>
        <v>#REF!</v>
      </c>
      <c r="D74" s="2" t="e">
        <f>RADIO_RxDone_DATA!D74</f>
        <v>#REF!</v>
      </c>
      <c r="E74" t="e">
        <f>RADIO_RxDone_DATA!E74</f>
        <v>#REF!</v>
      </c>
      <c r="F74" t="e">
        <f>RADIO_RxDone_DATA!F74</f>
        <v>#REF!</v>
      </c>
      <c r="G74" t="e">
        <f>RADIO_RxDone_DATA!G74</f>
        <v>#REF!</v>
      </c>
      <c r="H74" t="e">
        <f>RADIO_RxDone_DATA!H74</f>
        <v>#REF!</v>
      </c>
      <c r="I74" s="2" t="e">
        <f>RADIO_RxDone_DATA!I74</f>
        <v>#REF!</v>
      </c>
      <c r="J74" t="e">
        <f>RADIO_RxDone_DATA!J74</f>
        <v>#REF!</v>
      </c>
    </row>
    <row r="75" spans="2:10" x14ac:dyDescent="0.25">
      <c r="B75" t="e">
        <f>#REF!</f>
        <v>#REF!</v>
      </c>
      <c r="C75" t="e">
        <f>RADIO_RxDone_DATA!C75</f>
        <v>#REF!</v>
      </c>
      <c r="D75" s="2" t="e">
        <f>RADIO_RxDone_DATA!D75</f>
        <v>#REF!</v>
      </c>
      <c r="E75" t="e">
        <f>RADIO_RxDone_DATA!E75</f>
        <v>#REF!</v>
      </c>
      <c r="F75" t="e">
        <f>RADIO_RxDone_DATA!F75</f>
        <v>#REF!</v>
      </c>
      <c r="G75" t="e">
        <f>RADIO_RxDone_DATA!G75</f>
        <v>#REF!</v>
      </c>
      <c r="H75" t="e">
        <f>RADIO_RxDone_DATA!H75</f>
        <v>#REF!</v>
      </c>
      <c r="I75" s="2" t="e">
        <f>RADIO_RxDone_DATA!I75</f>
        <v>#REF!</v>
      </c>
      <c r="J75" t="e">
        <f>RADIO_RxDone_DATA!J75</f>
        <v>#REF!</v>
      </c>
    </row>
    <row r="76" spans="2:10" x14ac:dyDescent="0.25">
      <c r="B76" t="e">
        <f>#REF!</f>
        <v>#REF!</v>
      </c>
      <c r="C76" t="e">
        <f>RADIO_RxDone_DATA!C76</f>
        <v>#REF!</v>
      </c>
      <c r="D76" s="2" t="e">
        <f>RADIO_RxDone_DATA!D76</f>
        <v>#REF!</v>
      </c>
      <c r="E76" t="e">
        <f>RADIO_RxDone_DATA!E76</f>
        <v>#REF!</v>
      </c>
      <c r="F76" t="e">
        <f>RADIO_RxDone_DATA!F76</f>
        <v>#REF!</v>
      </c>
      <c r="G76" t="e">
        <f>RADIO_RxDone_DATA!G76</f>
        <v>#REF!</v>
      </c>
      <c r="H76" t="e">
        <f>RADIO_RxDone_DATA!H76</f>
        <v>#REF!</v>
      </c>
      <c r="I76" s="2" t="e">
        <f>RADIO_RxDone_DATA!I76</f>
        <v>#REF!</v>
      </c>
      <c r="J76" t="e">
        <f>RADIO_RxDone_DATA!J76</f>
        <v>#REF!</v>
      </c>
    </row>
    <row r="77" spans="2:10" x14ac:dyDescent="0.25">
      <c r="B77" t="e">
        <f>#REF!</f>
        <v>#REF!</v>
      </c>
      <c r="C77" t="e">
        <f>RADIO_RxDone_DATA!C77</f>
        <v>#REF!</v>
      </c>
      <c r="D77" s="2" t="e">
        <f>RADIO_RxDone_DATA!D77</f>
        <v>#REF!</v>
      </c>
      <c r="E77" t="e">
        <f>RADIO_RxDone_DATA!E77</f>
        <v>#REF!</v>
      </c>
      <c r="F77" t="e">
        <f>RADIO_RxDone_DATA!F77</f>
        <v>#REF!</v>
      </c>
      <c r="G77" t="e">
        <f>RADIO_RxDone_DATA!G77</f>
        <v>#REF!</v>
      </c>
      <c r="H77" t="e">
        <f>RADIO_RxDone_DATA!H77</f>
        <v>#REF!</v>
      </c>
      <c r="I77" s="2" t="e">
        <f>RADIO_RxDone_DATA!I77</f>
        <v>#REF!</v>
      </c>
      <c r="J77" t="e">
        <f>RADIO_RxDone_DATA!J77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173</v>
      </c>
      <c r="D1" s="2" t="s">
        <v>8</v>
      </c>
      <c r="E1" s="2" t="s">
        <v>9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178</v>
      </c>
      <c r="C9" s="20"/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 t="e">
        <f>#REF!</f>
        <v>#REF!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 t="e">
        <f>#REF!</f>
        <v>#REF!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 t="e">
        <f>#REF!</f>
        <v>#REF!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2:10" x14ac:dyDescent="0.25">
      <c r="B61" t="e">
        <f>#REF!</f>
        <v>#REF!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2:10" x14ac:dyDescent="0.25">
      <c r="B62" t="e">
        <f>#REF!</f>
        <v>#REF!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 t="e">
        <f>#REF!</f>
        <v>#REF!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 t="e">
        <f>#REF!</f>
        <v>#REF!</v>
      </c>
      <c r="C64" t="e">
        <f>RADIO_RxDone_DATA!C64</f>
        <v>#REF!</v>
      </c>
      <c r="D64" s="2" t="e">
        <f>RADIO_RxDone_DATA!D64</f>
        <v>#REF!</v>
      </c>
      <c r="E64" t="e">
        <f>RADIO_RxDone_DATA!E64</f>
        <v>#REF!</v>
      </c>
      <c r="F64" t="e">
        <f>RADIO_RxDone_DATA!F64</f>
        <v>#REF!</v>
      </c>
      <c r="G64" t="e">
        <f>RADIO_RxDone_DATA!G64</f>
        <v>#REF!</v>
      </c>
      <c r="H64" t="e">
        <f>RADIO_RxDone_DATA!H64</f>
        <v>#REF!</v>
      </c>
      <c r="I64" s="2" t="e">
        <f>RADIO_RxDone_DATA!I64</f>
        <v>#REF!</v>
      </c>
      <c r="J64" t="e">
        <f>RADIO_RxDone_DATA!J64</f>
        <v>#REF!</v>
      </c>
    </row>
    <row r="65" spans="2:10" x14ac:dyDescent="0.25">
      <c r="B65" t="e">
        <f>#REF!</f>
        <v>#REF!</v>
      </c>
      <c r="C65" t="e">
        <f>RADIO_RxDone_DATA!C65</f>
        <v>#REF!</v>
      </c>
      <c r="D65" s="2" t="e">
        <f>RADIO_RxDone_DATA!D65</f>
        <v>#REF!</v>
      </c>
      <c r="E65" t="e">
        <f>RADIO_RxDone_DATA!E65</f>
        <v>#REF!</v>
      </c>
      <c r="F65" t="e">
        <f>RADIO_RxDone_DATA!F65</f>
        <v>#REF!</v>
      </c>
      <c r="G65" t="e">
        <f>RADIO_RxDone_DATA!G65</f>
        <v>#REF!</v>
      </c>
      <c r="H65" t="e">
        <f>RADIO_RxDone_DATA!H65</f>
        <v>#REF!</v>
      </c>
      <c r="I65" s="2" t="e">
        <f>RADIO_RxDone_DATA!I65</f>
        <v>#REF!</v>
      </c>
      <c r="J65" t="e">
        <f>RADIO_RxDone_DATA!J65</f>
        <v>#REF!</v>
      </c>
    </row>
    <row r="66" spans="2:10" x14ac:dyDescent="0.25">
      <c r="B66" t="e">
        <f>#REF!</f>
        <v>#REF!</v>
      </c>
      <c r="C66" t="e">
        <f>RADIO_RxDone_DATA!C66</f>
        <v>#REF!</v>
      </c>
      <c r="D66" s="2" t="e">
        <f>RADIO_RxDone_DATA!D66</f>
        <v>#REF!</v>
      </c>
      <c r="E66" t="e">
        <f>RADIO_RxDone_DATA!E66</f>
        <v>#REF!</v>
      </c>
      <c r="F66" t="e">
        <f>RADIO_RxDone_DATA!F66</f>
        <v>#REF!</v>
      </c>
      <c r="G66" t="e">
        <f>RADIO_RxDone_DATA!G66</f>
        <v>#REF!</v>
      </c>
      <c r="H66" t="e">
        <f>RADIO_RxDone_DATA!H66</f>
        <v>#REF!</v>
      </c>
      <c r="I66" s="2" t="e">
        <f>RADIO_RxDone_DATA!I66</f>
        <v>#REF!</v>
      </c>
      <c r="J66" t="e">
        <f>RADIO_RxDone_DATA!J66</f>
        <v>#REF!</v>
      </c>
    </row>
    <row r="67" spans="2:10" x14ac:dyDescent="0.25">
      <c r="B67" t="e">
        <f>#REF!</f>
        <v>#REF!</v>
      </c>
      <c r="C67" t="e">
        <f>RADIO_RxDone_DATA!C67</f>
        <v>#REF!</v>
      </c>
      <c r="D67" s="2" t="e">
        <f>RADIO_RxDone_DATA!D67</f>
        <v>#REF!</v>
      </c>
      <c r="E67" t="e">
        <f>RADIO_RxDone_DATA!E67</f>
        <v>#REF!</v>
      </c>
      <c r="F67" t="e">
        <f>RADIO_RxDone_DATA!F67</f>
        <v>#REF!</v>
      </c>
      <c r="G67" t="e">
        <f>RADIO_RxDone_DATA!G67</f>
        <v>#REF!</v>
      </c>
      <c r="H67" t="e">
        <f>RADIO_RxDone_DATA!H67</f>
        <v>#REF!</v>
      </c>
      <c r="I67" s="2" t="e">
        <f>RADIO_RxDone_DATA!I67</f>
        <v>#REF!</v>
      </c>
      <c r="J67" t="e">
        <f>RADIO_RxDone_DATA!J67</f>
        <v>#REF!</v>
      </c>
    </row>
    <row r="68" spans="2:10" x14ac:dyDescent="0.25">
      <c r="B68" t="e">
        <f>#REF!</f>
        <v>#REF!</v>
      </c>
      <c r="C68" t="e">
        <f>RADIO_RxDone_DATA!C68</f>
        <v>#REF!</v>
      </c>
      <c r="D68" s="2" t="e">
        <f>RADIO_RxDone_DATA!D68</f>
        <v>#REF!</v>
      </c>
      <c r="E68" t="e">
        <f>RADIO_RxDone_DATA!E68</f>
        <v>#REF!</v>
      </c>
      <c r="F68" t="e">
        <f>RADIO_RxDone_DATA!F68</f>
        <v>#REF!</v>
      </c>
      <c r="G68" t="e">
        <f>RADIO_RxDone_DATA!G68</f>
        <v>#REF!</v>
      </c>
      <c r="H68" t="e">
        <f>RADIO_RxDone_DATA!H68</f>
        <v>#REF!</v>
      </c>
      <c r="I68" s="2" t="e">
        <f>RADIO_RxDone_DATA!I68</f>
        <v>#REF!</v>
      </c>
      <c r="J68" t="e">
        <f>RADIO_RxDone_DATA!J68</f>
        <v>#REF!</v>
      </c>
    </row>
    <row r="69" spans="2:10" x14ac:dyDescent="0.25">
      <c r="B69" t="e">
        <f>#REF!</f>
        <v>#REF!</v>
      </c>
      <c r="C69" t="e">
        <f>RADIO_RxDone_DATA!C69</f>
        <v>#REF!</v>
      </c>
      <c r="D69" s="2" t="e">
        <f>RADIO_RxDone_DATA!D69</f>
        <v>#REF!</v>
      </c>
      <c r="E69" t="e">
        <f>RADIO_RxDone_DATA!E69</f>
        <v>#REF!</v>
      </c>
      <c r="F69" t="e">
        <f>RADIO_RxDone_DATA!F69</f>
        <v>#REF!</v>
      </c>
      <c r="G69" t="e">
        <f>RADIO_RxDone_DATA!G69</f>
        <v>#REF!</v>
      </c>
      <c r="H69" t="e">
        <f>RADIO_RxDone_DATA!H69</f>
        <v>#REF!</v>
      </c>
      <c r="I69" s="2" t="e">
        <f>RADIO_RxDone_DATA!I69</f>
        <v>#REF!</v>
      </c>
      <c r="J69" t="e">
        <f>RADIO_RxDone_DATA!J69</f>
        <v>#REF!</v>
      </c>
    </row>
    <row r="70" spans="2:10" x14ac:dyDescent="0.25">
      <c r="B70" t="e">
        <f>#REF!</f>
        <v>#REF!</v>
      </c>
      <c r="C70" t="e">
        <f>RADIO_RxDone_DATA!C70</f>
        <v>#REF!</v>
      </c>
      <c r="D70" s="2" t="e">
        <f>RADIO_RxDone_DATA!D70</f>
        <v>#REF!</v>
      </c>
      <c r="E70" t="e">
        <f>RADIO_RxDone_DATA!E70</f>
        <v>#REF!</v>
      </c>
      <c r="F70" t="e">
        <f>RADIO_RxDone_DATA!F70</f>
        <v>#REF!</v>
      </c>
      <c r="G70" t="e">
        <f>RADIO_RxDone_DATA!G70</f>
        <v>#REF!</v>
      </c>
      <c r="H70" t="e">
        <f>RADIO_RxDone_DATA!H70</f>
        <v>#REF!</v>
      </c>
      <c r="I70" s="2" t="e">
        <f>RADIO_RxDone_DATA!I70</f>
        <v>#REF!</v>
      </c>
      <c r="J70" t="e">
        <f>RADIO_RxDone_DATA!J70</f>
        <v>#REF!</v>
      </c>
    </row>
    <row r="71" spans="2:10" x14ac:dyDescent="0.25">
      <c r="B71" t="e">
        <f>#REF!</f>
        <v>#REF!</v>
      </c>
      <c r="C71" t="e">
        <f>RADIO_RxDone_DATA!C71</f>
        <v>#REF!</v>
      </c>
      <c r="D71" s="2" t="e">
        <f>RADIO_RxDone_DATA!D71</f>
        <v>#REF!</v>
      </c>
      <c r="E71" t="e">
        <f>RADIO_RxDone_DATA!E71</f>
        <v>#REF!</v>
      </c>
      <c r="F71" t="e">
        <f>RADIO_RxDone_DATA!F71</f>
        <v>#REF!</v>
      </c>
      <c r="G71" t="e">
        <f>RADIO_RxDone_DATA!G71</f>
        <v>#REF!</v>
      </c>
      <c r="H71" t="e">
        <f>RADIO_RxDone_DATA!H71</f>
        <v>#REF!</v>
      </c>
      <c r="I71" s="2" t="e">
        <f>RADIO_RxDone_DATA!I71</f>
        <v>#REF!</v>
      </c>
      <c r="J71" t="e">
        <f>RADIO_RxDone_DATA!J71</f>
        <v>#REF!</v>
      </c>
    </row>
    <row r="72" spans="2:10" x14ac:dyDescent="0.25">
      <c r="B72" t="e">
        <f>#REF!</f>
        <v>#REF!</v>
      </c>
      <c r="C72" t="e">
        <f>RADIO_RxDone_DATA!C72</f>
        <v>#REF!</v>
      </c>
      <c r="D72" s="2" t="e">
        <f>RADIO_RxDone_DATA!D72</f>
        <v>#REF!</v>
      </c>
      <c r="E72" t="e">
        <f>RADIO_RxDone_DATA!E72</f>
        <v>#REF!</v>
      </c>
      <c r="F72" t="e">
        <f>RADIO_RxDone_DATA!F72</f>
        <v>#REF!</v>
      </c>
      <c r="G72" t="e">
        <f>RADIO_RxDone_DATA!G72</f>
        <v>#REF!</v>
      </c>
      <c r="H72" t="e">
        <f>RADIO_RxDone_DATA!H72</f>
        <v>#REF!</v>
      </c>
      <c r="I72" s="2" t="e">
        <f>RADIO_RxDone_DATA!I72</f>
        <v>#REF!</v>
      </c>
      <c r="J72" t="e">
        <f>RADIO_RxDone_DATA!J72</f>
        <v>#REF!</v>
      </c>
    </row>
    <row r="73" spans="2:10" x14ac:dyDescent="0.25">
      <c r="B73" t="e">
        <f>#REF!</f>
        <v>#REF!</v>
      </c>
      <c r="C73" t="e">
        <f>RADIO_RxDone_DATA!C73</f>
        <v>#REF!</v>
      </c>
      <c r="D73" s="2" t="e">
        <f>RADIO_RxDone_DATA!D73</f>
        <v>#REF!</v>
      </c>
      <c r="E73" t="e">
        <f>RADIO_RxDone_DATA!E73</f>
        <v>#REF!</v>
      </c>
      <c r="F73" t="e">
        <f>RADIO_RxDone_DATA!F73</f>
        <v>#REF!</v>
      </c>
      <c r="G73" t="e">
        <f>RADIO_RxDone_DATA!G73</f>
        <v>#REF!</v>
      </c>
      <c r="H73" t="e">
        <f>RADIO_RxDone_DATA!H73</f>
        <v>#REF!</v>
      </c>
      <c r="I73" s="2" t="e">
        <f>RADIO_RxDone_DATA!I73</f>
        <v>#REF!</v>
      </c>
      <c r="J73" t="e">
        <f>RADIO_RxDone_DATA!J73</f>
        <v>#REF!</v>
      </c>
    </row>
    <row r="74" spans="2:10" x14ac:dyDescent="0.25">
      <c r="B74" t="e">
        <f>#REF!</f>
        <v>#REF!</v>
      </c>
      <c r="C74" t="e">
        <f>RADIO_RxDone_DATA!C74</f>
        <v>#REF!</v>
      </c>
      <c r="D74" s="2" t="e">
        <f>RADIO_RxDone_DATA!D74</f>
        <v>#REF!</v>
      </c>
      <c r="E74" t="e">
        <f>RADIO_RxDone_DATA!E74</f>
        <v>#REF!</v>
      </c>
      <c r="F74" t="e">
        <f>RADIO_RxDone_DATA!F74</f>
        <v>#REF!</v>
      </c>
      <c r="G74" t="e">
        <f>RADIO_RxDone_DATA!G74</f>
        <v>#REF!</v>
      </c>
      <c r="H74" t="e">
        <f>RADIO_RxDone_DATA!H74</f>
        <v>#REF!</v>
      </c>
      <c r="I74" s="2" t="e">
        <f>RADIO_RxDone_DATA!I74</f>
        <v>#REF!</v>
      </c>
      <c r="J74" t="e">
        <f>RADIO_RxDone_DATA!J74</f>
        <v>#REF!</v>
      </c>
    </row>
    <row r="75" spans="2:10" x14ac:dyDescent="0.25">
      <c r="B75" t="e">
        <f>#REF!</f>
        <v>#REF!</v>
      </c>
      <c r="C75" t="e">
        <f>RADIO_RxDone_DATA!C75</f>
        <v>#REF!</v>
      </c>
      <c r="D75" s="2" t="e">
        <f>RADIO_RxDone_DATA!D75</f>
        <v>#REF!</v>
      </c>
      <c r="E75" t="e">
        <f>RADIO_RxDone_DATA!E75</f>
        <v>#REF!</v>
      </c>
      <c r="F75" t="e">
        <f>RADIO_RxDone_DATA!F75</f>
        <v>#REF!</v>
      </c>
      <c r="G75" t="e">
        <f>RADIO_RxDone_DATA!G75</f>
        <v>#REF!</v>
      </c>
      <c r="H75" t="e">
        <f>RADIO_RxDone_DATA!H75</f>
        <v>#REF!</v>
      </c>
      <c r="I75" s="2" t="e">
        <f>RADIO_RxDone_DATA!I75</f>
        <v>#REF!</v>
      </c>
      <c r="J75" t="e">
        <f>RADIO_RxDone_DATA!J75</f>
        <v>#REF!</v>
      </c>
    </row>
    <row r="76" spans="2:10" x14ac:dyDescent="0.25">
      <c r="B76" t="e">
        <f>#REF!</f>
        <v>#REF!</v>
      </c>
      <c r="C76" t="e">
        <f>RADIO_RxDone_DATA!C76</f>
        <v>#REF!</v>
      </c>
      <c r="D76" s="2" t="e">
        <f>RADIO_RxDone_DATA!D76</f>
        <v>#REF!</v>
      </c>
      <c r="E76" t="e">
        <f>RADIO_RxDone_DATA!E76</f>
        <v>#REF!</v>
      </c>
      <c r="F76" t="e">
        <f>RADIO_RxDone_DATA!F76</f>
        <v>#REF!</v>
      </c>
      <c r="G76" t="e">
        <f>RADIO_RxDone_DATA!G76</f>
        <v>#REF!</v>
      </c>
      <c r="H76" t="e">
        <f>RADIO_RxDone_DATA!H76</f>
        <v>#REF!</v>
      </c>
      <c r="I76" s="2" t="e">
        <f>RADIO_RxDone_DATA!I76</f>
        <v>#REF!</v>
      </c>
      <c r="J76" t="e">
        <f>RADIO_RxDone_DATA!J76</f>
        <v>#REF!</v>
      </c>
    </row>
    <row r="77" spans="2:10" x14ac:dyDescent="0.25">
      <c r="B77" t="e">
        <f>#REF!</f>
        <v>#REF!</v>
      </c>
      <c r="C77" t="e">
        <f>RADIO_RxDone_DATA!C77</f>
        <v>#REF!</v>
      </c>
      <c r="D77" s="2" t="e">
        <f>RADIO_RxDone_DATA!D77</f>
        <v>#REF!</v>
      </c>
      <c r="E77" t="e">
        <f>RADIO_RxDone_DATA!E77</f>
        <v>#REF!</v>
      </c>
      <c r="F77" t="e">
        <f>RADIO_RxDone_DATA!F77</f>
        <v>#REF!</v>
      </c>
      <c r="G77" t="e">
        <f>RADIO_RxDone_DATA!G77</f>
        <v>#REF!</v>
      </c>
      <c r="H77" t="e">
        <f>RADIO_RxDone_DATA!H77</f>
        <v>#REF!</v>
      </c>
      <c r="I77" s="2" t="e">
        <f>RADIO_RxDone_DATA!I77</f>
        <v>#REF!</v>
      </c>
      <c r="J77" t="e">
        <f>RADIO_RxDone_DATA!J77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2019-12-06T13:44:45Z</dcterms:modified>
</cp:coreProperties>
</file>