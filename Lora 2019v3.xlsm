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D:\elektr_2019\LoRa_2019\LoRa_2019.X\Lora2019\"/>
    </mc:Choice>
  </mc:AlternateContent>
  <xr:revisionPtr revIDLastSave="0" documentId="13_ncr:1_{2579D854-5DEC-4518-A319-F3C372D54067}" xr6:coauthVersionLast="45" xr6:coauthVersionMax="45" xr10:uidLastSave="{00000000-0000-0000-0000-000000000000}"/>
  <bookViews>
    <workbookView xWindow="-109" yWindow="-109" windowWidth="26301" windowHeight="14305" firstSheet="2" activeTab="5" xr2:uid="{CF74FFB2-BF4B-47C5-93C8-DE55957A940B}"/>
  </bookViews>
  <sheets>
    <sheet name="function" sheetId="9" r:id="rId1"/>
    <sheet name="LoRa_System_Init" sheetId="10" r:id="rId2"/>
    <sheet name="main" sheetId="40" r:id="rId3"/>
    <sheet name="LoRa_Send" sheetId="24" r:id="rId4"/>
    <sheet name="LoRa_Send_Header" sheetId="25" r:id="rId5"/>
    <sheet name="LoRa_TxDone" sheetId="26" r:id="rId6"/>
    <sheet name="LoRa_TimerHandshaking" sheetId="35" r:id="rId7"/>
    <sheet name="LoRa_TimerRetransmitCallback" sheetId="39" r:id="rId8"/>
    <sheet name="RADIO_RxDone" sheetId="28" r:id="rId9"/>
    <sheet name="LoRa_RxDone_OK" sheetId="29" r:id="rId10"/>
    <sheet name="LoRa_RxDone_Fail" sheetId="30" r:id="rId11"/>
    <sheet name="LoRa_TxDone_DATA" sheetId="31" r:id="rId12"/>
    <sheet name="RADIO_RxDone_DATA" sheetId="32" r:id="rId13"/>
    <sheet name="LoRa_RxDone_DATA_OK" sheetId="33" r:id="rId14"/>
    <sheet name="LoRa_RxDone_DATA_Fail" sheetId="34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7" i="26" l="1"/>
  <c r="D41" i="26"/>
  <c r="D44" i="26"/>
  <c r="D42" i="26"/>
  <c r="D43" i="26"/>
  <c r="D39" i="26"/>
  <c r="D35" i="26"/>
  <c r="D36" i="26"/>
  <c r="D36" i="28" s="1"/>
  <c r="D36" i="30" s="1"/>
  <c r="D34" i="26"/>
  <c r="D31" i="26"/>
  <c r="D38" i="26"/>
  <c r="D37" i="26"/>
  <c r="D32" i="26"/>
  <c r="D33" i="26"/>
  <c r="D30" i="26"/>
  <c r="D28" i="26"/>
  <c r="D5" i="26"/>
  <c r="D4" i="26"/>
  <c r="D3" i="26"/>
  <c r="C4" i="26"/>
  <c r="E4" i="26"/>
  <c r="F4" i="26"/>
  <c r="G4" i="26"/>
  <c r="H4" i="26"/>
  <c r="I4" i="26"/>
  <c r="J4" i="26"/>
  <c r="C5" i="26"/>
  <c r="E5" i="26"/>
  <c r="F5" i="26"/>
  <c r="G5" i="26"/>
  <c r="H5" i="26"/>
  <c r="I5" i="26"/>
  <c r="J5" i="26"/>
  <c r="C6" i="26"/>
  <c r="D6" i="26"/>
  <c r="E6" i="26"/>
  <c r="F6" i="26"/>
  <c r="G6" i="26"/>
  <c r="H6" i="26"/>
  <c r="I6" i="26"/>
  <c r="J6" i="26"/>
  <c r="J6" i="28" s="1"/>
  <c r="G7" i="26"/>
  <c r="H7" i="26"/>
  <c r="I7" i="26"/>
  <c r="J7" i="26"/>
  <c r="G8" i="26"/>
  <c r="H8" i="26"/>
  <c r="I8" i="26"/>
  <c r="J8" i="26"/>
  <c r="G9" i="26"/>
  <c r="H9" i="26"/>
  <c r="I9" i="26"/>
  <c r="J9" i="26"/>
  <c r="G10" i="26"/>
  <c r="H10" i="26"/>
  <c r="I10" i="26"/>
  <c r="J10" i="26"/>
  <c r="G11" i="26"/>
  <c r="H11" i="26"/>
  <c r="I11" i="26"/>
  <c r="J11" i="26"/>
  <c r="G12" i="26"/>
  <c r="H12" i="26"/>
  <c r="I12" i="26"/>
  <c r="J12" i="26"/>
  <c r="G13" i="26"/>
  <c r="H13" i="26"/>
  <c r="I13" i="26"/>
  <c r="J13" i="26"/>
  <c r="G14" i="26"/>
  <c r="H14" i="26"/>
  <c r="I14" i="26"/>
  <c r="J14" i="26"/>
  <c r="G15" i="26"/>
  <c r="H15" i="26"/>
  <c r="I15" i="26"/>
  <c r="J15" i="26"/>
  <c r="G16" i="26"/>
  <c r="H16" i="26"/>
  <c r="I16" i="26"/>
  <c r="J16" i="26"/>
  <c r="G17" i="26"/>
  <c r="H17" i="26"/>
  <c r="I17" i="26"/>
  <c r="J17" i="26"/>
  <c r="G18" i="26"/>
  <c r="H18" i="26"/>
  <c r="I18" i="26"/>
  <c r="J18" i="26"/>
  <c r="G19" i="26"/>
  <c r="H19" i="26"/>
  <c r="I19" i="26"/>
  <c r="J19" i="26"/>
  <c r="G20" i="26"/>
  <c r="H20" i="26"/>
  <c r="I20" i="26"/>
  <c r="J20" i="26"/>
  <c r="G21" i="26"/>
  <c r="H21" i="26"/>
  <c r="I21" i="26"/>
  <c r="J21" i="26"/>
  <c r="G22" i="26"/>
  <c r="H22" i="26"/>
  <c r="I22" i="26"/>
  <c r="J22" i="26"/>
  <c r="G23" i="26"/>
  <c r="H23" i="26"/>
  <c r="I23" i="26"/>
  <c r="J23" i="26"/>
  <c r="G24" i="26"/>
  <c r="H24" i="26"/>
  <c r="I24" i="26"/>
  <c r="J24" i="26"/>
  <c r="C25" i="26"/>
  <c r="D25" i="26"/>
  <c r="E25" i="26"/>
  <c r="F25" i="26"/>
  <c r="G25" i="26"/>
  <c r="H25" i="26"/>
  <c r="I25" i="26"/>
  <c r="J25" i="26"/>
  <c r="C26" i="26"/>
  <c r="E26" i="26"/>
  <c r="F26" i="26"/>
  <c r="G26" i="26"/>
  <c r="H26" i="26"/>
  <c r="I26" i="26"/>
  <c r="J26" i="26"/>
  <c r="C27" i="26"/>
  <c r="E27" i="26"/>
  <c r="F27" i="26"/>
  <c r="G27" i="26"/>
  <c r="H27" i="26"/>
  <c r="I27" i="26"/>
  <c r="J27" i="26"/>
  <c r="C28" i="26"/>
  <c r="E28" i="26"/>
  <c r="F28" i="26"/>
  <c r="G28" i="26"/>
  <c r="H28" i="26"/>
  <c r="I28" i="26"/>
  <c r="J28" i="26"/>
  <c r="C29" i="26"/>
  <c r="E29" i="26"/>
  <c r="F29" i="26"/>
  <c r="G29" i="26"/>
  <c r="H29" i="26"/>
  <c r="I29" i="26"/>
  <c r="J29" i="26"/>
  <c r="C30" i="26"/>
  <c r="E30" i="26"/>
  <c r="F30" i="26"/>
  <c r="G30" i="26"/>
  <c r="H30" i="26"/>
  <c r="I30" i="26"/>
  <c r="J30" i="26"/>
  <c r="C31" i="26"/>
  <c r="E31" i="26"/>
  <c r="F31" i="26"/>
  <c r="G31" i="26"/>
  <c r="H31" i="26"/>
  <c r="I31" i="26"/>
  <c r="J31" i="26"/>
  <c r="C32" i="26"/>
  <c r="E32" i="26"/>
  <c r="F32" i="26"/>
  <c r="G32" i="26"/>
  <c r="H32" i="26"/>
  <c r="I32" i="26"/>
  <c r="J32" i="26"/>
  <c r="C33" i="26"/>
  <c r="E33" i="26"/>
  <c r="F33" i="26"/>
  <c r="G33" i="26"/>
  <c r="H33" i="26"/>
  <c r="I33" i="26"/>
  <c r="J33" i="26"/>
  <c r="C34" i="26"/>
  <c r="E34" i="26"/>
  <c r="F34" i="26"/>
  <c r="G34" i="26"/>
  <c r="H34" i="26"/>
  <c r="J34" i="26"/>
  <c r="C35" i="26"/>
  <c r="E35" i="26"/>
  <c r="F35" i="26"/>
  <c r="G35" i="26"/>
  <c r="H35" i="26"/>
  <c r="I35" i="26"/>
  <c r="J35" i="26"/>
  <c r="C36" i="26"/>
  <c r="E36" i="26"/>
  <c r="F36" i="26"/>
  <c r="G36" i="26"/>
  <c r="H36" i="26"/>
  <c r="I36" i="26"/>
  <c r="J36" i="26"/>
  <c r="C37" i="26"/>
  <c r="E37" i="26"/>
  <c r="F37" i="26"/>
  <c r="G37" i="26"/>
  <c r="H37" i="26"/>
  <c r="I37" i="26"/>
  <c r="J37" i="26"/>
  <c r="C38" i="26"/>
  <c r="E38" i="26"/>
  <c r="F38" i="26"/>
  <c r="G38" i="26"/>
  <c r="H38" i="26"/>
  <c r="J38" i="26"/>
  <c r="C39" i="26"/>
  <c r="E39" i="26"/>
  <c r="F39" i="26"/>
  <c r="G39" i="26"/>
  <c r="H39" i="26"/>
  <c r="I39" i="26"/>
  <c r="J39" i="26"/>
  <c r="C40" i="26"/>
  <c r="E40" i="26"/>
  <c r="F40" i="26"/>
  <c r="G40" i="26"/>
  <c r="H40" i="26"/>
  <c r="I40" i="26"/>
  <c r="J40" i="26"/>
  <c r="C41" i="26"/>
  <c r="E41" i="26"/>
  <c r="F41" i="26"/>
  <c r="G41" i="26"/>
  <c r="H41" i="26"/>
  <c r="J41" i="26"/>
  <c r="C42" i="26"/>
  <c r="E42" i="26"/>
  <c r="F42" i="26"/>
  <c r="G42" i="26"/>
  <c r="H42" i="26"/>
  <c r="J42" i="26"/>
  <c r="C43" i="26"/>
  <c r="E43" i="26"/>
  <c r="F43" i="26"/>
  <c r="G43" i="26"/>
  <c r="H43" i="26"/>
  <c r="J43" i="26"/>
  <c r="C44" i="26"/>
  <c r="E44" i="26"/>
  <c r="F44" i="26"/>
  <c r="G44" i="26"/>
  <c r="H44" i="26"/>
  <c r="I44" i="26"/>
  <c r="J44" i="26"/>
  <c r="C45" i="26"/>
  <c r="D45" i="26"/>
  <c r="E45" i="26"/>
  <c r="F45" i="26"/>
  <c r="G45" i="26"/>
  <c r="H45" i="26"/>
  <c r="J45" i="26"/>
  <c r="C46" i="26"/>
  <c r="D46" i="26"/>
  <c r="E46" i="26"/>
  <c r="F46" i="26"/>
  <c r="G46" i="26"/>
  <c r="H46" i="26"/>
  <c r="I46" i="26"/>
  <c r="J46" i="26"/>
  <c r="C47" i="26"/>
  <c r="D47" i="26"/>
  <c r="E47" i="26"/>
  <c r="F47" i="26"/>
  <c r="G47" i="26"/>
  <c r="H47" i="26"/>
  <c r="J47" i="28"/>
  <c r="C48" i="26"/>
  <c r="D48" i="26"/>
  <c r="E48" i="26"/>
  <c r="F48" i="26"/>
  <c r="G48" i="26"/>
  <c r="H48" i="26"/>
  <c r="J48" i="28"/>
  <c r="C49" i="26"/>
  <c r="D49" i="26"/>
  <c r="E49" i="26"/>
  <c r="F49" i="26"/>
  <c r="G49" i="26"/>
  <c r="H49" i="26"/>
  <c r="J49" i="28"/>
  <c r="C50" i="26"/>
  <c r="D50" i="26"/>
  <c r="E50" i="26"/>
  <c r="F50" i="26"/>
  <c r="G50" i="26"/>
  <c r="H50" i="26"/>
  <c r="I50" i="26"/>
  <c r="J50" i="28"/>
  <c r="C51" i="26"/>
  <c r="D51" i="26"/>
  <c r="E51" i="26"/>
  <c r="F51" i="26"/>
  <c r="G51" i="26"/>
  <c r="H51" i="26"/>
  <c r="I51" i="26"/>
  <c r="C52" i="26"/>
  <c r="D52" i="26"/>
  <c r="E52" i="26"/>
  <c r="F52" i="26"/>
  <c r="G52" i="26"/>
  <c r="H52" i="26"/>
  <c r="I52" i="26"/>
  <c r="J52" i="26"/>
  <c r="C53" i="26"/>
  <c r="D53" i="26"/>
  <c r="E53" i="26"/>
  <c r="F53" i="26"/>
  <c r="G53" i="26"/>
  <c r="H53" i="26"/>
  <c r="I53" i="26"/>
  <c r="J53" i="26"/>
  <c r="C54" i="26"/>
  <c r="D54" i="26"/>
  <c r="E54" i="26"/>
  <c r="F54" i="26"/>
  <c r="G54" i="26"/>
  <c r="H54" i="26"/>
  <c r="I54" i="26"/>
  <c r="J54" i="26"/>
  <c r="C55" i="26"/>
  <c r="D55" i="26"/>
  <c r="E55" i="26"/>
  <c r="F55" i="26"/>
  <c r="G55" i="26"/>
  <c r="H55" i="26"/>
  <c r="I55" i="26"/>
  <c r="J55" i="26"/>
  <c r="C56" i="26"/>
  <c r="D56" i="26"/>
  <c r="E56" i="26"/>
  <c r="F56" i="26"/>
  <c r="G56" i="26"/>
  <c r="H56" i="26"/>
  <c r="H56" i="28" s="1"/>
  <c r="I56" i="26"/>
  <c r="J56" i="26"/>
  <c r="C57" i="26"/>
  <c r="D57" i="26"/>
  <c r="E57" i="26"/>
  <c r="F57" i="26"/>
  <c r="G57" i="26"/>
  <c r="H57" i="26"/>
  <c r="H57" i="28" s="1"/>
  <c r="J57" i="26"/>
  <c r="J57" i="28" s="1"/>
  <c r="C58" i="26"/>
  <c r="D58" i="26"/>
  <c r="E58" i="26"/>
  <c r="F58" i="26"/>
  <c r="G58" i="26"/>
  <c r="H58" i="26"/>
  <c r="I58" i="26"/>
  <c r="J58" i="26"/>
  <c r="C59" i="26"/>
  <c r="D59" i="26"/>
  <c r="E59" i="26"/>
  <c r="F59" i="26"/>
  <c r="G59" i="26"/>
  <c r="H59" i="26"/>
  <c r="I59" i="26"/>
  <c r="J59" i="26"/>
  <c r="C60" i="26"/>
  <c r="D60" i="26"/>
  <c r="E60" i="26"/>
  <c r="F60" i="26"/>
  <c r="G60" i="26"/>
  <c r="H60" i="26"/>
  <c r="I60" i="26"/>
  <c r="J60" i="26"/>
  <c r="C61" i="26"/>
  <c r="D61" i="26"/>
  <c r="E61" i="26"/>
  <c r="F61" i="26"/>
  <c r="G61" i="26"/>
  <c r="H61" i="26"/>
  <c r="I61" i="26"/>
  <c r="J61" i="26"/>
  <c r="C62" i="26"/>
  <c r="D62" i="26"/>
  <c r="E62" i="26"/>
  <c r="F62" i="26"/>
  <c r="G62" i="26"/>
  <c r="H62" i="26"/>
  <c r="I62" i="26"/>
  <c r="J62" i="26"/>
  <c r="C63" i="26"/>
  <c r="D63" i="26"/>
  <c r="E63" i="26"/>
  <c r="F63" i="26"/>
  <c r="G63" i="26"/>
  <c r="H63" i="26"/>
  <c r="I63" i="26"/>
  <c r="J63" i="26"/>
  <c r="C64" i="26"/>
  <c r="D64" i="26"/>
  <c r="E64" i="26"/>
  <c r="F64" i="26"/>
  <c r="G64" i="26"/>
  <c r="H64" i="26"/>
  <c r="I64" i="26"/>
  <c r="J64" i="26"/>
  <c r="C65" i="26"/>
  <c r="D65" i="26"/>
  <c r="E65" i="26"/>
  <c r="F65" i="26"/>
  <c r="G65" i="26"/>
  <c r="H65" i="26"/>
  <c r="I65" i="26"/>
  <c r="J65" i="26"/>
  <c r="C66" i="26"/>
  <c r="D66" i="26"/>
  <c r="E66" i="26"/>
  <c r="F66" i="26"/>
  <c r="G66" i="26"/>
  <c r="G66" i="28" s="1"/>
  <c r="H66" i="26"/>
  <c r="I66" i="26"/>
  <c r="J66" i="26"/>
  <c r="C67" i="26"/>
  <c r="D67" i="26"/>
  <c r="E67" i="26"/>
  <c r="F67" i="26"/>
  <c r="G67" i="26"/>
  <c r="H67" i="26"/>
  <c r="H67" i="28" s="1"/>
  <c r="I67" i="26"/>
  <c r="J67" i="26"/>
  <c r="C68" i="26"/>
  <c r="D68" i="26"/>
  <c r="E68" i="26"/>
  <c r="F68" i="26"/>
  <c r="G68" i="26"/>
  <c r="H68" i="26"/>
  <c r="I68" i="26"/>
  <c r="J68" i="26"/>
  <c r="C69" i="26"/>
  <c r="D69" i="26"/>
  <c r="E69" i="26"/>
  <c r="F69" i="26"/>
  <c r="G69" i="26"/>
  <c r="H69" i="26"/>
  <c r="I69" i="26"/>
  <c r="J69" i="26"/>
  <c r="C70" i="26"/>
  <c r="D70" i="26"/>
  <c r="E70" i="26"/>
  <c r="F70" i="26"/>
  <c r="G70" i="26"/>
  <c r="H70" i="26"/>
  <c r="I70" i="26"/>
  <c r="J70" i="26"/>
  <c r="C71" i="26"/>
  <c r="D71" i="26"/>
  <c r="E71" i="26"/>
  <c r="F71" i="26"/>
  <c r="G71" i="26"/>
  <c r="H71" i="26"/>
  <c r="I71" i="26"/>
  <c r="J71" i="26"/>
  <c r="C72" i="26"/>
  <c r="D72" i="26"/>
  <c r="E72" i="26"/>
  <c r="F72" i="26"/>
  <c r="G72" i="26"/>
  <c r="H72" i="26"/>
  <c r="I72" i="26"/>
  <c r="J72" i="26"/>
  <c r="C73" i="26"/>
  <c r="D73" i="26"/>
  <c r="E73" i="26"/>
  <c r="F73" i="26"/>
  <c r="G73" i="26"/>
  <c r="H73" i="26"/>
  <c r="I73" i="26"/>
  <c r="J73" i="26"/>
  <c r="J73" i="28" s="1"/>
  <c r="C74" i="26"/>
  <c r="D74" i="26"/>
  <c r="E74" i="26"/>
  <c r="F74" i="26"/>
  <c r="G74" i="26"/>
  <c r="H74" i="26"/>
  <c r="H74" i="28" s="1"/>
  <c r="I74" i="26"/>
  <c r="J74" i="26"/>
  <c r="C75" i="26"/>
  <c r="D75" i="26"/>
  <c r="E75" i="26"/>
  <c r="F75" i="26"/>
  <c r="G75" i="26"/>
  <c r="H75" i="26"/>
  <c r="H75" i="28" s="1"/>
  <c r="I75" i="26"/>
  <c r="J75" i="26"/>
  <c r="C76" i="26"/>
  <c r="D76" i="26"/>
  <c r="E76" i="26"/>
  <c r="F76" i="26"/>
  <c r="G76" i="26"/>
  <c r="H76" i="26"/>
  <c r="I76" i="26"/>
  <c r="J76" i="26"/>
  <c r="C77" i="26"/>
  <c r="D77" i="26"/>
  <c r="E77" i="26"/>
  <c r="F77" i="26"/>
  <c r="G77" i="26"/>
  <c r="H77" i="26"/>
  <c r="I77" i="26"/>
  <c r="J77" i="26"/>
  <c r="E3" i="26"/>
  <c r="F3" i="26"/>
  <c r="G3" i="26"/>
  <c r="H3" i="26"/>
  <c r="J3" i="26"/>
  <c r="C3" i="26"/>
  <c r="D28" i="28"/>
  <c r="D28" i="30" s="1"/>
  <c r="H16" i="28"/>
  <c r="H18" i="28"/>
  <c r="H31" i="28"/>
  <c r="H37" i="28"/>
  <c r="H39" i="28"/>
  <c r="H40" i="28"/>
  <c r="H44" i="28"/>
  <c r="H48" i="28"/>
  <c r="H51" i="28"/>
  <c r="J51" i="28"/>
  <c r="G55" i="28"/>
  <c r="H55" i="28"/>
  <c r="H58" i="28"/>
  <c r="H62" i="28"/>
  <c r="H63" i="28"/>
  <c r="H64" i="28"/>
  <c r="H65" i="28"/>
  <c r="H68" i="28"/>
  <c r="H69" i="28"/>
  <c r="H70" i="28"/>
  <c r="G71" i="28"/>
  <c r="H71" i="28"/>
  <c r="H76" i="28"/>
  <c r="H77" i="28"/>
  <c r="D35" i="28"/>
  <c r="D35" i="30" s="1"/>
  <c r="I57" i="25"/>
  <c r="D27" i="25"/>
  <c r="D25" i="25"/>
  <c r="D29" i="25"/>
  <c r="D41" i="25"/>
  <c r="D44" i="25"/>
  <c r="D42" i="25"/>
  <c r="D43" i="25"/>
  <c r="D39" i="25"/>
  <c r="D35" i="25"/>
  <c r="D36" i="25"/>
  <c r="D34" i="25"/>
  <c r="D31" i="25"/>
  <c r="D38" i="25"/>
  <c r="D37" i="25"/>
  <c r="D32" i="25"/>
  <c r="D32" i="28" s="1"/>
  <c r="D32" i="30" s="1"/>
  <c r="D33" i="25"/>
  <c r="D30" i="25"/>
  <c r="D28" i="25"/>
  <c r="D5" i="25"/>
  <c r="D4" i="25"/>
  <c r="D3" i="25"/>
  <c r="C4" i="25"/>
  <c r="E4" i="25"/>
  <c r="F4" i="25"/>
  <c r="G4" i="25"/>
  <c r="H4" i="25"/>
  <c r="J4" i="25"/>
  <c r="C5" i="25"/>
  <c r="E5" i="25"/>
  <c r="F5" i="25"/>
  <c r="G5" i="25"/>
  <c r="H5" i="25"/>
  <c r="I5" i="25"/>
  <c r="J5" i="25"/>
  <c r="C6" i="25"/>
  <c r="D6" i="25"/>
  <c r="E6" i="25"/>
  <c r="F6" i="25"/>
  <c r="G6" i="25"/>
  <c r="H6" i="25"/>
  <c r="J6" i="25"/>
  <c r="G7" i="25"/>
  <c r="H7" i="25"/>
  <c r="I7" i="25"/>
  <c r="J7" i="25"/>
  <c r="G8" i="25"/>
  <c r="H8" i="25"/>
  <c r="J8" i="25"/>
  <c r="G9" i="25"/>
  <c r="H9" i="25"/>
  <c r="I9" i="25"/>
  <c r="J9" i="25"/>
  <c r="G10" i="25"/>
  <c r="H10" i="25"/>
  <c r="I10" i="25"/>
  <c r="J10" i="25"/>
  <c r="G11" i="25"/>
  <c r="H11" i="25"/>
  <c r="I11" i="25"/>
  <c r="J11" i="25"/>
  <c r="G12" i="25"/>
  <c r="H12" i="25"/>
  <c r="I12" i="25"/>
  <c r="J12" i="25"/>
  <c r="G13" i="25"/>
  <c r="H13" i="25"/>
  <c r="I13" i="25"/>
  <c r="J13" i="25"/>
  <c r="G14" i="25"/>
  <c r="H14" i="25"/>
  <c r="I14" i="25"/>
  <c r="J14" i="25"/>
  <c r="G15" i="25"/>
  <c r="H15" i="25"/>
  <c r="I15" i="25"/>
  <c r="J15" i="25"/>
  <c r="G16" i="25"/>
  <c r="H16" i="25"/>
  <c r="I16" i="25"/>
  <c r="J16" i="25"/>
  <c r="G17" i="25"/>
  <c r="H17" i="25"/>
  <c r="I17" i="25"/>
  <c r="J17" i="25"/>
  <c r="G18" i="25"/>
  <c r="H18" i="25"/>
  <c r="I18" i="25"/>
  <c r="J18" i="25"/>
  <c r="G19" i="25"/>
  <c r="H19" i="25"/>
  <c r="I19" i="25"/>
  <c r="J19" i="25"/>
  <c r="G20" i="25"/>
  <c r="H20" i="25"/>
  <c r="I20" i="25"/>
  <c r="J20" i="25"/>
  <c r="G21" i="25"/>
  <c r="H21" i="25"/>
  <c r="I21" i="25"/>
  <c r="J21" i="25"/>
  <c r="G22" i="25"/>
  <c r="H22" i="25"/>
  <c r="I22" i="25"/>
  <c r="J22" i="25"/>
  <c r="G23" i="25"/>
  <c r="H23" i="25"/>
  <c r="I23" i="25"/>
  <c r="J23" i="25"/>
  <c r="G24" i="25"/>
  <c r="H24" i="25"/>
  <c r="I24" i="25"/>
  <c r="J24" i="25"/>
  <c r="C25" i="25"/>
  <c r="E25" i="25"/>
  <c r="F25" i="25"/>
  <c r="G25" i="25"/>
  <c r="H25" i="25"/>
  <c r="I25" i="25"/>
  <c r="J25" i="25"/>
  <c r="C26" i="25"/>
  <c r="E26" i="25"/>
  <c r="F26" i="25"/>
  <c r="G26" i="25"/>
  <c r="H26" i="25"/>
  <c r="I26" i="25"/>
  <c r="J26" i="25"/>
  <c r="C27" i="25"/>
  <c r="E27" i="25"/>
  <c r="F27" i="25"/>
  <c r="G27" i="25"/>
  <c r="H27" i="25"/>
  <c r="I27" i="25"/>
  <c r="J27" i="25"/>
  <c r="C28" i="25"/>
  <c r="E28" i="25"/>
  <c r="F28" i="25"/>
  <c r="G28" i="25"/>
  <c r="H28" i="25"/>
  <c r="I28" i="25"/>
  <c r="J28" i="25"/>
  <c r="C29" i="25"/>
  <c r="E29" i="25"/>
  <c r="F29" i="25"/>
  <c r="G29" i="25"/>
  <c r="H29" i="25"/>
  <c r="I29" i="25"/>
  <c r="J29" i="25"/>
  <c r="C30" i="25"/>
  <c r="E30" i="25"/>
  <c r="F30" i="25"/>
  <c r="G30" i="25"/>
  <c r="H30" i="25"/>
  <c r="I30" i="25"/>
  <c r="J30" i="25"/>
  <c r="C31" i="25"/>
  <c r="E31" i="25"/>
  <c r="F31" i="25"/>
  <c r="G31" i="25"/>
  <c r="H31" i="25"/>
  <c r="I31" i="25"/>
  <c r="J31" i="25"/>
  <c r="C32" i="25"/>
  <c r="E32" i="25"/>
  <c r="F32" i="25"/>
  <c r="G32" i="25"/>
  <c r="H32" i="25"/>
  <c r="I32" i="25"/>
  <c r="J32" i="25"/>
  <c r="C33" i="25"/>
  <c r="E33" i="25"/>
  <c r="F33" i="25"/>
  <c r="G33" i="25"/>
  <c r="H33" i="25"/>
  <c r="I33" i="25"/>
  <c r="J33" i="25"/>
  <c r="C34" i="25"/>
  <c r="E34" i="25"/>
  <c r="F34" i="25"/>
  <c r="G34" i="25"/>
  <c r="H34" i="25"/>
  <c r="J34" i="25"/>
  <c r="C35" i="25"/>
  <c r="E35" i="25"/>
  <c r="F35" i="25"/>
  <c r="G35" i="25"/>
  <c r="H35" i="25"/>
  <c r="I35" i="25"/>
  <c r="J35" i="25"/>
  <c r="C36" i="25"/>
  <c r="E36" i="25"/>
  <c r="F36" i="25"/>
  <c r="G36" i="25"/>
  <c r="H36" i="25"/>
  <c r="I36" i="25"/>
  <c r="J36" i="25"/>
  <c r="C37" i="25"/>
  <c r="E37" i="25"/>
  <c r="F37" i="25"/>
  <c r="G37" i="25"/>
  <c r="H37" i="25"/>
  <c r="I37" i="25"/>
  <c r="J37" i="25"/>
  <c r="C38" i="25"/>
  <c r="E38" i="25"/>
  <c r="F38" i="25"/>
  <c r="G38" i="25"/>
  <c r="H38" i="25"/>
  <c r="J38" i="25"/>
  <c r="C39" i="25"/>
  <c r="E39" i="25"/>
  <c r="F39" i="25"/>
  <c r="G39" i="25"/>
  <c r="H39" i="25"/>
  <c r="I39" i="25"/>
  <c r="J39" i="25"/>
  <c r="C40" i="25"/>
  <c r="E40" i="25"/>
  <c r="F40" i="25"/>
  <c r="G40" i="25"/>
  <c r="H40" i="25"/>
  <c r="I40" i="25"/>
  <c r="J40" i="25"/>
  <c r="C41" i="25"/>
  <c r="E41" i="25"/>
  <c r="F41" i="25"/>
  <c r="G41" i="25"/>
  <c r="H41" i="25"/>
  <c r="J41" i="25"/>
  <c r="C42" i="25"/>
  <c r="E42" i="25"/>
  <c r="F42" i="25"/>
  <c r="G42" i="25"/>
  <c r="H42" i="25"/>
  <c r="J42" i="25"/>
  <c r="C43" i="25"/>
  <c r="E43" i="25"/>
  <c r="F43" i="25"/>
  <c r="G43" i="25"/>
  <c r="H43" i="25"/>
  <c r="J43" i="25"/>
  <c r="C44" i="25"/>
  <c r="E44" i="25"/>
  <c r="F44" i="25"/>
  <c r="G44" i="25"/>
  <c r="H44" i="25"/>
  <c r="J44" i="25"/>
  <c r="C45" i="25"/>
  <c r="D45" i="25"/>
  <c r="E45" i="25"/>
  <c r="F45" i="25"/>
  <c r="G45" i="25"/>
  <c r="H45" i="25"/>
  <c r="J45" i="25"/>
  <c r="C46" i="25"/>
  <c r="D46" i="25"/>
  <c r="E46" i="25"/>
  <c r="F46" i="25"/>
  <c r="G46" i="25"/>
  <c r="H46" i="25"/>
  <c r="I46" i="25"/>
  <c r="J46" i="25"/>
  <c r="C47" i="25"/>
  <c r="D47" i="25"/>
  <c r="E47" i="25"/>
  <c r="F47" i="25"/>
  <c r="G47" i="25"/>
  <c r="H47" i="25"/>
  <c r="C48" i="25"/>
  <c r="D48" i="25"/>
  <c r="E48" i="25"/>
  <c r="F48" i="25"/>
  <c r="G48" i="25"/>
  <c r="H48" i="25"/>
  <c r="C49" i="25"/>
  <c r="D49" i="25"/>
  <c r="E49" i="25"/>
  <c r="F49" i="25"/>
  <c r="G49" i="25"/>
  <c r="H49" i="25"/>
  <c r="C50" i="25"/>
  <c r="D50" i="25"/>
  <c r="E50" i="25"/>
  <c r="F50" i="25"/>
  <c r="G50" i="25"/>
  <c r="H50" i="25"/>
  <c r="I50" i="25"/>
  <c r="C51" i="25"/>
  <c r="D51" i="25"/>
  <c r="E51" i="25"/>
  <c r="F51" i="25"/>
  <c r="G51" i="25"/>
  <c r="H51" i="25"/>
  <c r="I51" i="25"/>
  <c r="C52" i="25"/>
  <c r="D52" i="25"/>
  <c r="E52" i="25"/>
  <c r="F52" i="25"/>
  <c r="G52" i="25"/>
  <c r="H52" i="25"/>
  <c r="I52" i="25"/>
  <c r="J52" i="25"/>
  <c r="C53" i="25"/>
  <c r="D53" i="25"/>
  <c r="E53" i="25"/>
  <c r="F53" i="25"/>
  <c r="G53" i="25"/>
  <c r="H53" i="25"/>
  <c r="I53" i="25"/>
  <c r="J53" i="25"/>
  <c r="C54" i="25"/>
  <c r="D54" i="25"/>
  <c r="E54" i="25"/>
  <c r="F54" i="25"/>
  <c r="G54" i="25"/>
  <c r="H54" i="25"/>
  <c r="I54" i="25"/>
  <c r="J54" i="25"/>
  <c r="C55" i="25"/>
  <c r="D55" i="25"/>
  <c r="E55" i="25"/>
  <c r="F55" i="25"/>
  <c r="G55" i="25"/>
  <c r="H55" i="25"/>
  <c r="J55" i="25"/>
  <c r="C56" i="25"/>
  <c r="D56" i="25"/>
  <c r="E56" i="25"/>
  <c r="F56" i="25"/>
  <c r="G56" i="25"/>
  <c r="H56" i="25"/>
  <c r="I56" i="25"/>
  <c r="J56" i="25"/>
  <c r="C57" i="25"/>
  <c r="D57" i="25"/>
  <c r="E57" i="25"/>
  <c r="F57" i="25"/>
  <c r="G57" i="25"/>
  <c r="H57" i="25"/>
  <c r="J57" i="25"/>
  <c r="C58" i="25"/>
  <c r="D58" i="25"/>
  <c r="E58" i="25"/>
  <c r="F58" i="25"/>
  <c r="G58" i="25"/>
  <c r="H58" i="25"/>
  <c r="I58" i="25"/>
  <c r="J58" i="25"/>
  <c r="C59" i="25"/>
  <c r="D59" i="25"/>
  <c r="E59" i="25"/>
  <c r="F59" i="25"/>
  <c r="G59" i="25"/>
  <c r="H59" i="25"/>
  <c r="I59" i="25"/>
  <c r="J59" i="25"/>
  <c r="C60" i="25"/>
  <c r="D60" i="25"/>
  <c r="E60" i="25"/>
  <c r="F60" i="25"/>
  <c r="G60" i="25"/>
  <c r="H60" i="25"/>
  <c r="I60" i="25"/>
  <c r="J60" i="25"/>
  <c r="C61" i="25"/>
  <c r="D61" i="25"/>
  <c r="E61" i="25"/>
  <c r="F61" i="25"/>
  <c r="G61" i="25"/>
  <c r="H61" i="25"/>
  <c r="I61" i="25"/>
  <c r="J61" i="25"/>
  <c r="C62" i="25"/>
  <c r="D62" i="25"/>
  <c r="E62" i="25"/>
  <c r="F62" i="25"/>
  <c r="G62" i="25"/>
  <c r="H62" i="25"/>
  <c r="I62" i="25"/>
  <c r="J62" i="25"/>
  <c r="C63" i="25"/>
  <c r="D63" i="25"/>
  <c r="E63" i="25"/>
  <c r="F63" i="25"/>
  <c r="G63" i="25"/>
  <c r="H63" i="25"/>
  <c r="I63" i="25"/>
  <c r="J63" i="25"/>
  <c r="C64" i="25"/>
  <c r="D64" i="25"/>
  <c r="E64" i="25"/>
  <c r="F64" i="25"/>
  <c r="G64" i="25"/>
  <c r="H64" i="25"/>
  <c r="I64" i="25"/>
  <c r="J64" i="25"/>
  <c r="C65" i="25"/>
  <c r="D65" i="25"/>
  <c r="E65" i="25"/>
  <c r="F65" i="25"/>
  <c r="G65" i="25"/>
  <c r="H65" i="25"/>
  <c r="I65" i="25"/>
  <c r="J65" i="25"/>
  <c r="C66" i="25"/>
  <c r="D66" i="25"/>
  <c r="E66" i="25"/>
  <c r="F66" i="25"/>
  <c r="G66" i="25"/>
  <c r="H66" i="25"/>
  <c r="I66" i="25"/>
  <c r="J66" i="25"/>
  <c r="C67" i="25"/>
  <c r="D67" i="25"/>
  <c r="E67" i="25"/>
  <c r="F67" i="25"/>
  <c r="G67" i="25"/>
  <c r="H67" i="25"/>
  <c r="I67" i="25"/>
  <c r="J67" i="25"/>
  <c r="C68" i="25"/>
  <c r="D68" i="25"/>
  <c r="E68" i="25"/>
  <c r="F68" i="25"/>
  <c r="G68" i="25"/>
  <c r="H68" i="25"/>
  <c r="I68" i="25"/>
  <c r="J68" i="25"/>
  <c r="C69" i="25"/>
  <c r="D69" i="25"/>
  <c r="E69" i="25"/>
  <c r="F69" i="25"/>
  <c r="G69" i="25"/>
  <c r="H69" i="25"/>
  <c r="I69" i="25"/>
  <c r="J69" i="25"/>
  <c r="C70" i="25"/>
  <c r="D70" i="25"/>
  <c r="E70" i="25"/>
  <c r="F70" i="25"/>
  <c r="G70" i="25"/>
  <c r="H70" i="25"/>
  <c r="I70" i="25"/>
  <c r="J70" i="25"/>
  <c r="C71" i="25"/>
  <c r="D71" i="25"/>
  <c r="E71" i="25"/>
  <c r="F71" i="25"/>
  <c r="G71" i="25"/>
  <c r="H71" i="25"/>
  <c r="I71" i="25"/>
  <c r="J71" i="25"/>
  <c r="C72" i="25"/>
  <c r="D72" i="25"/>
  <c r="E72" i="25"/>
  <c r="F72" i="25"/>
  <c r="G72" i="25"/>
  <c r="H72" i="25"/>
  <c r="I72" i="25"/>
  <c r="J72" i="25"/>
  <c r="C73" i="25"/>
  <c r="D73" i="25"/>
  <c r="E73" i="25"/>
  <c r="F73" i="25"/>
  <c r="G73" i="25"/>
  <c r="H73" i="25"/>
  <c r="I73" i="25"/>
  <c r="J73" i="25"/>
  <c r="C74" i="25"/>
  <c r="D74" i="25"/>
  <c r="E74" i="25"/>
  <c r="F74" i="25"/>
  <c r="G74" i="25"/>
  <c r="H74" i="25"/>
  <c r="I74" i="25"/>
  <c r="J74" i="25"/>
  <c r="C75" i="25"/>
  <c r="D75" i="25"/>
  <c r="E75" i="25"/>
  <c r="F75" i="25"/>
  <c r="G75" i="25"/>
  <c r="H75" i="25"/>
  <c r="I75" i="25"/>
  <c r="J75" i="25"/>
  <c r="C76" i="25"/>
  <c r="D76" i="25"/>
  <c r="E76" i="25"/>
  <c r="F76" i="25"/>
  <c r="G76" i="25"/>
  <c r="H76" i="25"/>
  <c r="I76" i="25"/>
  <c r="J76" i="25"/>
  <c r="C77" i="25"/>
  <c r="D77" i="25"/>
  <c r="E77" i="25"/>
  <c r="F77" i="25"/>
  <c r="G77" i="25"/>
  <c r="H77" i="25"/>
  <c r="I77" i="25"/>
  <c r="J77" i="25"/>
  <c r="E3" i="25"/>
  <c r="E3" i="28" s="1"/>
  <c r="F3" i="25"/>
  <c r="G3" i="25"/>
  <c r="H3" i="25"/>
  <c r="J3" i="25"/>
  <c r="C3" i="25"/>
  <c r="C25" i="28"/>
  <c r="C26" i="28"/>
  <c r="E27" i="28"/>
  <c r="E28" i="28"/>
  <c r="E29" i="28"/>
  <c r="E30" i="28"/>
  <c r="E31" i="28"/>
  <c r="E32" i="28"/>
  <c r="E33" i="28"/>
  <c r="E35" i="28"/>
  <c r="E36" i="28"/>
  <c r="E37" i="28"/>
  <c r="E38" i="28"/>
  <c r="E39" i="28"/>
  <c r="E40" i="28"/>
  <c r="E41" i="28"/>
  <c r="E42" i="28"/>
  <c r="I42" i="28"/>
  <c r="I42" i="30" s="1"/>
  <c r="E43" i="28"/>
  <c r="I43" i="28"/>
  <c r="I43" i="30" s="1"/>
  <c r="E45" i="28"/>
  <c r="I45" i="28"/>
  <c r="I45" i="30" s="1"/>
  <c r="I46" i="28"/>
  <c r="E47" i="28"/>
  <c r="F48" i="28"/>
  <c r="I48" i="28"/>
  <c r="I48" i="30" s="1"/>
  <c r="F50" i="28"/>
  <c r="F51" i="28"/>
  <c r="F52" i="28"/>
  <c r="F53" i="28"/>
  <c r="F54" i="28"/>
  <c r="F55" i="28"/>
  <c r="I55" i="28"/>
  <c r="I55" i="30" s="1"/>
  <c r="F56" i="28"/>
  <c r="F57" i="28"/>
  <c r="I66" i="28"/>
  <c r="I71" i="28"/>
  <c r="H72" i="28"/>
  <c r="F3" i="28"/>
  <c r="I4" i="28"/>
  <c r="I5" i="28"/>
  <c r="I6" i="28"/>
  <c r="I17" i="28"/>
  <c r="I25" i="28"/>
  <c r="I26" i="28"/>
  <c r="I29" i="28"/>
  <c r="I33" i="28"/>
  <c r="I34" i="28"/>
  <c r="I34" i="30" s="1"/>
  <c r="I38" i="28"/>
  <c r="I38" i="30" s="1"/>
  <c r="I41" i="28"/>
  <c r="I49" i="28"/>
  <c r="I49" i="30" s="1"/>
  <c r="I74" i="28"/>
  <c r="D30" i="28"/>
  <c r="D30" i="30" s="1"/>
  <c r="J14" i="28"/>
  <c r="I20" i="28"/>
  <c r="I20" i="30" s="1"/>
  <c r="D6" i="28"/>
  <c r="D45" i="28"/>
  <c r="D46" i="28"/>
  <c r="D47" i="28"/>
  <c r="D48" i="28"/>
  <c r="D49" i="28"/>
  <c r="D50" i="28"/>
  <c r="D51" i="28"/>
  <c r="D52" i="28"/>
  <c r="I52" i="28"/>
  <c r="D53" i="28"/>
  <c r="D55" i="28"/>
  <c r="D56" i="28"/>
  <c r="D57" i="28"/>
  <c r="D58" i="28"/>
  <c r="D60" i="28"/>
  <c r="D61" i="28"/>
  <c r="D62" i="28"/>
  <c r="D63" i="28"/>
  <c r="D64" i="28"/>
  <c r="D66" i="28"/>
  <c r="D67" i="28"/>
  <c r="D68" i="28"/>
  <c r="D70" i="28"/>
  <c r="D72" i="28"/>
  <c r="D73" i="28"/>
  <c r="D76" i="28"/>
  <c r="D77" i="28"/>
  <c r="D5" i="24"/>
  <c r="D4" i="24"/>
  <c r="D3" i="24"/>
  <c r="C4" i="24"/>
  <c r="E4" i="24"/>
  <c r="F4" i="24"/>
  <c r="G4" i="24"/>
  <c r="H4" i="24"/>
  <c r="J4" i="24"/>
  <c r="C5" i="24"/>
  <c r="E5" i="24"/>
  <c r="F5" i="24"/>
  <c r="G5" i="24"/>
  <c r="H5" i="24"/>
  <c r="I5" i="24"/>
  <c r="J5" i="24"/>
  <c r="C6" i="24"/>
  <c r="D6" i="24"/>
  <c r="E6" i="24"/>
  <c r="F6" i="24"/>
  <c r="G6" i="24"/>
  <c r="H6" i="24"/>
  <c r="I6" i="24"/>
  <c r="J6" i="24"/>
  <c r="G7" i="24"/>
  <c r="H7" i="24"/>
  <c r="I7" i="24"/>
  <c r="J7" i="24"/>
  <c r="G8" i="24"/>
  <c r="H8" i="24"/>
  <c r="I8" i="24"/>
  <c r="J8" i="24"/>
  <c r="G9" i="24"/>
  <c r="H9" i="24"/>
  <c r="I9" i="24"/>
  <c r="J9" i="24"/>
  <c r="G10" i="24"/>
  <c r="H10" i="24"/>
  <c r="I10" i="24"/>
  <c r="J10" i="24"/>
  <c r="G11" i="24"/>
  <c r="H11" i="24"/>
  <c r="J11" i="24"/>
  <c r="G12" i="24"/>
  <c r="H12" i="24"/>
  <c r="J12" i="24"/>
  <c r="G13" i="24"/>
  <c r="G13" i="28" s="1"/>
  <c r="H13" i="24"/>
  <c r="J13" i="24"/>
  <c r="G14" i="24"/>
  <c r="H14" i="24"/>
  <c r="J14" i="24"/>
  <c r="G15" i="24"/>
  <c r="H15" i="24"/>
  <c r="I15" i="24"/>
  <c r="J15" i="24"/>
  <c r="G16" i="24"/>
  <c r="H16" i="24"/>
  <c r="I16" i="24"/>
  <c r="J16" i="24"/>
  <c r="G17" i="24"/>
  <c r="H17" i="24"/>
  <c r="J17" i="24"/>
  <c r="G18" i="24"/>
  <c r="H18" i="24"/>
  <c r="I18" i="24"/>
  <c r="J18" i="24"/>
  <c r="G19" i="24"/>
  <c r="H19" i="24"/>
  <c r="I19" i="24"/>
  <c r="J19" i="24"/>
  <c r="G20" i="24"/>
  <c r="H20" i="24"/>
  <c r="J20" i="24"/>
  <c r="G21" i="24"/>
  <c r="H21" i="24"/>
  <c r="J21" i="24"/>
  <c r="G22" i="24"/>
  <c r="H22" i="24"/>
  <c r="J22" i="24"/>
  <c r="G23" i="24"/>
  <c r="H23" i="24"/>
  <c r="J23" i="24"/>
  <c r="G24" i="24"/>
  <c r="H24" i="24"/>
  <c r="I24" i="24"/>
  <c r="J24" i="24"/>
  <c r="C25" i="24"/>
  <c r="D25" i="24"/>
  <c r="E25" i="24"/>
  <c r="F25" i="24"/>
  <c r="G25" i="24"/>
  <c r="G25" i="28" s="1"/>
  <c r="H25" i="24"/>
  <c r="I25" i="24"/>
  <c r="J25" i="24"/>
  <c r="C26" i="24"/>
  <c r="D26" i="24"/>
  <c r="E26" i="24"/>
  <c r="F26" i="24"/>
  <c r="G26" i="24"/>
  <c r="H26" i="24"/>
  <c r="I26" i="24"/>
  <c r="J26" i="24"/>
  <c r="C27" i="24"/>
  <c r="D27" i="24"/>
  <c r="E27" i="24"/>
  <c r="F27" i="24"/>
  <c r="G27" i="24"/>
  <c r="H27" i="24"/>
  <c r="I27" i="24"/>
  <c r="J27" i="24"/>
  <c r="C28" i="24"/>
  <c r="D28" i="24"/>
  <c r="E28" i="24"/>
  <c r="F28" i="24"/>
  <c r="G28" i="24"/>
  <c r="H28" i="24"/>
  <c r="I28" i="24"/>
  <c r="J28" i="24"/>
  <c r="C29" i="24"/>
  <c r="D29" i="24"/>
  <c r="E29" i="24"/>
  <c r="F29" i="24"/>
  <c r="G29" i="24"/>
  <c r="H29" i="24"/>
  <c r="I29" i="24"/>
  <c r="J29" i="24"/>
  <c r="C30" i="24"/>
  <c r="D30" i="24"/>
  <c r="E30" i="24"/>
  <c r="F30" i="24"/>
  <c r="G30" i="24"/>
  <c r="H30" i="24"/>
  <c r="I30" i="24"/>
  <c r="J30" i="24"/>
  <c r="C31" i="24"/>
  <c r="D31" i="24"/>
  <c r="E31" i="24"/>
  <c r="F31" i="24"/>
  <c r="G31" i="24"/>
  <c r="H31" i="24"/>
  <c r="I31" i="24"/>
  <c r="J31" i="24"/>
  <c r="C32" i="24"/>
  <c r="D32" i="24"/>
  <c r="E32" i="24"/>
  <c r="F32" i="24"/>
  <c r="G32" i="24"/>
  <c r="H32" i="24"/>
  <c r="I32" i="24"/>
  <c r="J32" i="24"/>
  <c r="C33" i="24"/>
  <c r="D33" i="24"/>
  <c r="E33" i="24"/>
  <c r="F33" i="24"/>
  <c r="G33" i="24"/>
  <c r="H33" i="24"/>
  <c r="I33" i="24"/>
  <c r="J33" i="24"/>
  <c r="C34" i="24"/>
  <c r="D34" i="24"/>
  <c r="E34" i="24"/>
  <c r="F34" i="24"/>
  <c r="G34" i="24"/>
  <c r="G34" i="28" s="1"/>
  <c r="H34" i="24"/>
  <c r="I34" i="24"/>
  <c r="J34" i="24"/>
  <c r="C35" i="24"/>
  <c r="D35" i="24"/>
  <c r="E35" i="24"/>
  <c r="F35" i="24"/>
  <c r="G35" i="24"/>
  <c r="H35" i="24"/>
  <c r="I35" i="24"/>
  <c r="J35" i="24"/>
  <c r="C36" i="24"/>
  <c r="D36" i="24"/>
  <c r="E36" i="24"/>
  <c r="F36" i="24"/>
  <c r="G36" i="24"/>
  <c r="G36" i="28" s="1"/>
  <c r="H36" i="24"/>
  <c r="I36" i="24"/>
  <c r="J36" i="24"/>
  <c r="C37" i="24"/>
  <c r="D37" i="24"/>
  <c r="E37" i="24"/>
  <c r="F37" i="24"/>
  <c r="G37" i="24"/>
  <c r="H37" i="24"/>
  <c r="I37" i="24"/>
  <c r="J37" i="24"/>
  <c r="C38" i="24"/>
  <c r="D38" i="24"/>
  <c r="E38" i="24"/>
  <c r="F38" i="24"/>
  <c r="G38" i="24"/>
  <c r="H38" i="24"/>
  <c r="I38" i="24"/>
  <c r="J38" i="24"/>
  <c r="C39" i="24"/>
  <c r="D39" i="24"/>
  <c r="E39" i="24"/>
  <c r="F39" i="24"/>
  <c r="G39" i="24"/>
  <c r="H39" i="24"/>
  <c r="I39" i="24"/>
  <c r="J39" i="24"/>
  <c r="C40" i="24"/>
  <c r="D40" i="24"/>
  <c r="E40" i="24"/>
  <c r="F40" i="24"/>
  <c r="G40" i="24"/>
  <c r="H40" i="24"/>
  <c r="I40" i="24"/>
  <c r="J40" i="24"/>
  <c r="C41" i="24"/>
  <c r="D41" i="24"/>
  <c r="E41" i="24"/>
  <c r="F41" i="24"/>
  <c r="G41" i="24"/>
  <c r="H41" i="24"/>
  <c r="I41" i="24"/>
  <c r="J41" i="24"/>
  <c r="C42" i="24"/>
  <c r="D42" i="24"/>
  <c r="E42" i="24"/>
  <c r="F42" i="24"/>
  <c r="G42" i="24"/>
  <c r="H42" i="24"/>
  <c r="I42" i="24"/>
  <c r="J42" i="24"/>
  <c r="C43" i="24"/>
  <c r="D43" i="24"/>
  <c r="E43" i="24"/>
  <c r="F43" i="24"/>
  <c r="G43" i="24"/>
  <c r="H43" i="24"/>
  <c r="I43" i="24"/>
  <c r="J43" i="24"/>
  <c r="C44" i="24"/>
  <c r="D44" i="24"/>
  <c r="E44" i="24"/>
  <c r="F44" i="24"/>
  <c r="G44" i="24"/>
  <c r="H44" i="24"/>
  <c r="I44" i="24"/>
  <c r="J44" i="24"/>
  <c r="C45" i="24"/>
  <c r="D45" i="24"/>
  <c r="E45" i="24"/>
  <c r="F45" i="24"/>
  <c r="G45" i="24"/>
  <c r="H45" i="24"/>
  <c r="I45" i="24"/>
  <c r="J45" i="24"/>
  <c r="C46" i="24"/>
  <c r="D46" i="24"/>
  <c r="E46" i="24"/>
  <c r="F46" i="24"/>
  <c r="G46" i="24"/>
  <c r="H46" i="24"/>
  <c r="I46" i="24"/>
  <c r="J46" i="24"/>
  <c r="C47" i="24"/>
  <c r="D47" i="24"/>
  <c r="E47" i="24"/>
  <c r="F47" i="24"/>
  <c r="G47" i="24"/>
  <c r="H47" i="24"/>
  <c r="I47" i="24"/>
  <c r="J47" i="24"/>
  <c r="C48" i="24"/>
  <c r="D48" i="24"/>
  <c r="E48" i="24"/>
  <c r="F48" i="24"/>
  <c r="G48" i="24"/>
  <c r="H48" i="24"/>
  <c r="I48" i="24"/>
  <c r="J48" i="24"/>
  <c r="C49" i="24"/>
  <c r="D49" i="24"/>
  <c r="E49" i="24"/>
  <c r="F49" i="24"/>
  <c r="G49" i="24"/>
  <c r="H49" i="24"/>
  <c r="I49" i="24"/>
  <c r="J49" i="24"/>
  <c r="C50" i="24"/>
  <c r="D50" i="24"/>
  <c r="E50" i="24"/>
  <c r="F50" i="24"/>
  <c r="G50" i="24"/>
  <c r="H50" i="24"/>
  <c r="I50" i="24"/>
  <c r="J50" i="24"/>
  <c r="C51" i="24"/>
  <c r="D51" i="24"/>
  <c r="E51" i="24"/>
  <c r="F51" i="24"/>
  <c r="G51" i="24"/>
  <c r="H51" i="24"/>
  <c r="I51" i="24"/>
  <c r="J51" i="24"/>
  <c r="C52" i="24"/>
  <c r="D52" i="24"/>
  <c r="E52" i="24"/>
  <c r="F52" i="24"/>
  <c r="G52" i="24"/>
  <c r="H52" i="24"/>
  <c r="I52" i="24"/>
  <c r="J52" i="24"/>
  <c r="C53" i="24"/>
  <c r="D53" i="24"/>
  <c r="E53" i="24"/>
  <c r="F53" i="24"/>
  <c r="G53" i="24"/>
  <c r="H53" i="24"/>
  <c r="I53" i="24"/>
  <c r="J53" i="24"/>
  <c r="C54" i="24"/>
  <c r="D54" i="24"/>
  <c r="E54" i="24"/>
  <c r="F54" i="24"/>
  <c r="G54" i="24"/>
  <c r="H54" i="24"/>
  <c r="I54" i="24"/>
  <c r="J54" i="24"/>
  <c r="C55" i="24"/>
  <c r="D55" i="24"/>
  <c r="E55" i="24"/>
  <c r="F55" i="24"/>
  <c r="G55" i="24"/>
  <c r="H55" i="24"/>
  <c r="I55" i="24"/>
  <c r="J55" i="24"/>
  <c r="C56" i="24"/>
  <c r="D56" i="24"/>
  <c r="E56" i="24"/>
  <c r="F56" i="24"/>
  <c r="G56" i="24"/>
  <c r="H56" i="24"/>
  <c r="I56" i="24"/>
  <c r="J56" i="24"/>
  <c r="C57" i="24"/>
  <c r="D57" i="24"/>
  <c r="E57" i="24"/>
  <c r="F57" i="24"/>
  <c r="G57" i="24"/>
  <c r="H57" i="24"/>
  <c r="I57" i="24"/>
  <c r="J57" i="24"/>
  <c r="C58" i="24"/>
  <c r="D58" i="24"/>
  <c r="E58" i="24"/>
  <c r="F58" i="24"/>
  <c r="G58" i="24"/>
  <c r="H58" i="24"/>
  <c r="I58" i="24"/>
  <c r="J58" i="24"/>
  <c r="C59" i="24"/>
  <c r="D59" i="24"/>
  <c r="E59" i="24"/>
  <c r="F59" i="24"/>
  <c r="G59" i="24"/>
  <c r="H59" i="24"/>
  <c r="I59" i="24"/>
  <c r="J59" i="24"/>
  <c r="C60" i="24"/>
  <c r="D60" i="24"/>
  <c r="E60" i="24"/>
  <c r="F60" i="24"/>
  <c r="G60" i="24"/>
  <c r="H60" i="24"/>
  <c r="I60" i="24"/>
  <c r="J60" i="24"/>
  <c r="C61" i="24"/>
  <c r="D61" i="24"/>
  <c r="E61" i="24"/>
  <c r="F61" i="24"/>
  <c r="G61" i="24"/>
  <c r="H61" i="24"/>
  <c r="I61" i="24"/>
  <c r="J61" i="24"/>
  <c r="C62" i="24"/>
  <c r="D62" i="24"/>
  <c r="E62" i="24"/>
  <c r="F62" i="24"/>
  <c r="G62" i="24"/>
  <c r="H62" i="24"/>
  <c r="I62" i="24"/>
  <c r="J62" i="24"/>
  <c r="C63" i="24"/>
  <c r="D63" i="24"/>
  <c r="E63" i="24"/>
  <c r="F63" i="24"/>
  <c r="G63" i="24"/>
  <c r="H63" i="24"/>
  <c r="I63" i="24"/>
  <c r="J63" i="24"/>
  <c r="C64" i="24"/>
  <c r="D64" i="24"/>
  <c r="E64" i="24"/>
  <c r="F64" i="24"/>
  <c r="G64" i="24"/>
  <c r="H64" i="24"/>
  <c r="I64" i="24"/>
  <c r="J64" i="24"/>
  <c r="C65" i="24"/>
  <c r="D65" i="24"/>
  <c r="E65" i="24"/>
  <c r="F65" i="24"/>
  <c r="G65" i="24"/>
  <c r="H65" i="24"/>
  <c r="I65" i="24"/>
  <c r="J65" i="24"/>
  <c r="C66" i="24"/>
  <c r="D66" i="24"/>
  <c r="E66" i="24"/>
  <c r="F66" i="24"/>
  <c r="G66" i="24"/>
  <c r="H66" i="24"/>
  <c r="I66" i="24"/>
  <c r="J66" i="24"/>
  <c r="C67" i="24"/>
  <c r="D67" i="24"/>
  <c r="E67" i="24"/>
  <c r="F67" i="24"/>
  <c r="G67" i="24"/>
  <c r="H67" i="24"/>
  <c r="I67" i="24"/>
  <c r="J67" i="24"/>
  <c r="C68" i="24"/>
  <c r="D68" i="24"/>
  <c r="E68" i="24"/>
  <c r="F68" i="24"/>
  <c r="G68" i="24"/>
  <c r="H68" i="24"/>
  <c r="I68" i="24"/>
  <c r="J68" i="24"/>
  <c r="C69" i="24"/>
  <c r="D69" i="24"/>
  <c r="E69" i="24"/>
  <c r="F69" i="24"/>
  <c r="G69" i="24"/>
  <c r="H69" i="24"/>
  <c r="I69" i="24"/>
  <c r="J69" i="24"/>
  <c r="C70" i="24"/>
  <c r="D70" i="24"/>
  <c r="E70" i="24"/>
  <c r="F70" i="24"/>
  <c r="G70" i="24"/>
  <c r="H70" i="24"/>
  <c r="I70" i="24"/>
  <c r="J70" i="24"/>
  <c r="C71" i="24"/>
  <c r="D71" i="24"/>
  <c r="E71" i="24"/>
  <c r="F71" i="24"/>
  <c r="G71" i="24"/>
  <c r="H71" i="24"/>
  <c r="I71" i="24"/>
  <c r="J71" i="24"/>
  <c r="C72" i="24"/>
  <c r="D72" i="24"/>
  <c r="E72" i="24"/>
  <c r="F72" i="24"/>
  <c r="G72" i="24"/>
  <c r="H72" i="24"/>
  <c r="I72" i="24"/>
  <c r="J72" i="24"/>
  <c r="C73" i="24"/>
  <c r="D73" i="24"/>
  <c r="E73" i="24"/>
  <c r="F73" i="24"/>
  <c r="G73" i="24"/>
  <c r="H73" i="24"/>
  <c r="I73" i="24"/>
  <c r="J73" i="24"/>
  <c r="C74" i="24"/>
  <c r="D74" i="24"/>
  <c r="E74" i="24"/>
  <c r="F74" i="24"/>
  <c r="G74" i="24"/>
  <c r="H74" i="24"/>
  <c r="I74" i="24"/>
  <c r="J74" i="24"/>
  <c r="C75" i="24"/>
  <c r="D75" i="24"/>
  <c r="E75" i="24"/>
  <c r="F75" i="24"/>
  <c r="G75" i="24"/>
  <c r="H75" i="24"/>
  <c r="I75" i="24"/>
  <c r="J75" i="24"/>
  <c r="C76" i="24"/>
  <c r="D76" i="24"/>
  <c r="E76" i="24"/>
  <c r="F76" i="24"/>
  <c r="G76" i="24"/>
  <c r="H76" i="24"/>
  <c r="I76" i="24"/>
  <c r="J76" i="24"/>
  <c r="C77" i="24"/>
  <c r="D77" i="24"/>
  <c r="E77" i="24"/>
  <c r="F77" i="24"/>
  <c r="G77" i="24"/>
  <c r="H77" i="24"/>
  <c r="I77" i="24"/>
  <c r="J77" i="24"/>
  <c r="E3" i="24"/>
  <c r="F3" i="24"/>
  <c r="G3" i="24"/>
  <c r="H3" i="24"/>
  <c r="I3" i="24"/>
  <c r="J3" i="24"/>
  <c r="C3" i="24"/>
  <c r="C4" i="28"/>
  <c r="E5" i="28"/>
  <c r="H5" i="28"/>
  <c r="H8" i="28"/>
  <c r="H9" i="28"/>
  <c r="H10" i="28"/>
  <c r="G12" i="28"/>
  <c r="H12" i="28"/>
  <c r="H14" i="28"/>
  <c r="H22" i="28"/>
  <c r="H24" i="28"/>
  <c r="E25" i="28"/>
  <c r="H27" i="28"/>
  <c r="C28" i="28"/>
  <c r="C29" i="28"/>
  <c r="C31" i="28"/>
  <c r="H32" i="28"/>
  <c r="C33" i="28"/>
  <c r="E34" i="28"/>
  <c r="C35" i="28"/>
  <c r="F36" i="28"/>
  <c r="F37" i="28"/>
  <c r="C38" i="28"/>
  <c r="C39" i="28"/>
  <c r="F39" i="28"/>
  <c r="G39" i="28"/>
  <c r="H41" i="28"/>
  <c r="C42" i="28"/>
  <c r="C43" i="28"/>
  <c r="E44" i="28"/>
  <c r="C46" i="28"/>
  <c r="H46" i="28"/>
  <c r="C47" i="28"/>
  <c r="H47" i="28"/>
  <c r="E48" i="28"/>
  <c r="C52" i="28"/>
  <c r="C53" i="28"/>
  <c r="E53" i="28"/>
  <c r="H53" i="28"/>
  <c r="C54" i="28"/>
  <c r="D54" i="28"/>
  <c r="H54" i="28"/>
  <c r="C55" i="28"/>
  <c r="E56" i="28"/>
  <c r="E58" i="28"/>
  <c r="C59" i="28"/>
  <c r="E59" i="28"/>
  <c r="H59" i="28"/>
  <c r="E61" i="28"/>
  <c r="C62" i="28"/>
  <c r="E62" i="28"/>
  <c r="F62" i="28"/>
  <c r="E63" i="28"/>
  <c r="E64" i="28"/>
  <c r="E65" i="28"/>
  <c r="F65" i="28"/>
  <c r="E66" i="28"/>
  <c r="E68" i="28"/>
  <c r="E69" i="28"/>
  <c r="E70" i="28"/>
  <c r="F70" i="28"/>
  <c r="D71" i="28"/>
  <c r="E71" i="28"/>
  <c r="E72" i="28"/>
  <c r="E73" i="28"/>
  <c r="F73" i="28"/>
  <c r="E75" i="28"/>
  <c r="E76" i="28"/>
  <c r="E77" i="28"/>
  <c r="D74" i="28"/>
  <c r="D5" i="40"/>
  <c r="D4" i="40"/>
  <c r="D3" i="40"/>
  <c r="C4" i="40"/>
  <c r="E4" i="40"/>
  <c r="F4" i="40"/>
  <c r="G4" i="40"/>
  <c r="H4" i="40"/>
  <c r="I4" i="40"/>
  <c r="J4" i="40"/>
  <c r="C5" i="40"/>
  <c r="E5" i="40"/>
  <c r="F5" i="40"/>
  <c r="G5" i="40"/>
  <c r="H5" i="40"/>
  <c r="I5" i="40"/>
  <c r="J5" i="40"/>
  <c r="C6" i="40"/>
  <c r="D6" i="40"/>
  <c r="E6" i="40"/>
  <c r="F6" i="40"/>
  <c r="G6" i="40"/>
  <c r="H6" i="40"/>
  <c r="I6" i="40"/>
  <c r="J6" i="40"/>
  <c r="G7" i="40"/>
  <c r="H7" i="40"/>
  <c r="I7" i="40"/>
  <c r="J7" i="40"/>
  <c r="G8" i="40"/>
  <c r="H8" i="40"/>
  <c r="J8" i="40"/>
  <c r="G9" i="40"/>
  <c r="H9" i="40"/>
  <c r="J9" i="40"/>
  <c r="G10" i="40"/>
  <c r="G10" i="28" s="1"/>
  <c r="H10" i="40"/>
  <c r="J10" i="40"/>
  <c r="G11" i="40"/>
  <c r="G11" i="28" s="1"/>
  <c r="H11" i="40"/>
  <c r="I11" i="40"/>
  <c r="J11" i="40"/>
  <c r="G12" i="40"/>
  <c r="H12" i="40"/>
  <c r="I12" i="40"/>
  <c r="J12" i="40"/>
  <c r="G13" i="40"/>
  <c r="H13" i="40"/>
  <c r="I13" i="40"/>
  <c r="J13" i="40"/>
  <c r="G14" i="40"/>
  <c r="H14" i="40"/>
  <c r="I14" i="40"/>
  <c r="J14" i="40"/>
  <c r="G15" i="40"/>
  <c r="H15" i="40"/>
  <c r="I15" i="40"/>
  <c r="J15" i="40"/>
  <c r="G16" i="40"/>
  <c r="H16" i="40"/>
  <c r="J16" i="40"/>
  <c r="G17" i="40"/>
  <c r="H17" i="40"/>
  <c r="I17" i="40"/>
  <c r="J17" i="40"/>
  <c r="G18" i="40"/>
  <c r="G18" i="28" s="1"/>
  <c r="H18" i="40"/>
  <c r="I18" i="40"/>
  <c r="J18" i="40"/>
  <c r="G19" i="40"/>
  <c r="H19" i="40"/>
  <c r="I19" i="40"/>
  <c r="J19" i="40"/>
  <c r="G20" i="40"/>
  <c r="G20" i="28" s="1"/>
  <c r="H20" i="40"/>
  <c r="I20" i="40"/>
  <c r="J20" i="40"/>
  <c r="G21" i="40"/>
  <c r="H21" i="40"/>
  <c r="I21" i="40"/>
  <c r="J21" i="40"/>
  <c r="G22" i="40"/>
  <c r="H22" i="40"/>
  <c r="I22" i="40"/>
  <c r="J22" i="40"/>
  <c r="G23" i="40"/>
  <c r="H23" i="40"/>
  <c r="I23" i="40"/>
  <c r="J23" i="40"/>
  <c r="G24" i="40"/>
  <c r="H24" i="40"/>
  <c r="J24" i="40"/>
  <c r="C25" i="40"/>
  <c r="D25" i="40"/>
  <c r="E25" i="40"/>
  <c r="F25" i="40"/>
  <c r="F25" i="28" s="1"/>
  <c r="G25" i="40"/>
  <c r="H25" i="40"/>
  <c r="J25" i="40"/>
  <c r="C26" i="40"/>
  <c r="E26" i="40"/>
  <c r="F26" i="40"/>
  <c r="G26" i="40"/>
  <c r="H26" i="40"/>
  <c r="J26" i="40"/>
  <c r="C27" i="40"/>
  <c r="E27" i="40"/>
  <c r="F27" i="40"/>
  <c r="G27" i="40"/>
  <c r="H27" i="40"/>
  <c r="J27" i="40"/>
  <c r="C28" i="40"/>
  <c r="E28" i="40"/>
  <c r="F28" i="40"/>
  <c r="F28" i="28" s="1"/>
  <c r="G28" i="40"/>
  <c r="H28" i="40"/>
  <c r="J28" i="40"/>
  <c r="C29" i="40"/>
  <c r="E29" i="40"/>
  <c r="F29" i="40"/>
  <c r="G29" i="40"/>
  <c r="H29" i="40"/>
  <c r="I29" i="40"/>
  <c r="J29" i="40"/>
  <c r="C30" i="40"/>
  <c r="D30" i="40"/>
  <c r="E30" i="40"/>
  <c r="F30" i="40"/>
  <c r="G30" i="40"/>
  <c r="H30" i="40"/>
  <c r="I30" i="40"/>
  <c r="J30" i="40"/>
  <c r="C31" i="40"/>
  <c r="D31" i="40"/>
  <c r="E31" i="40"/>
  <c r="F31" i="40"/>
  <c r="G31" i="40"/>
  <c r="H31" i="40"/>
  <c r="I31" i="40"/>
  <c r="J31" i="40"/>
  <c r="C32" i="40"/>
  <c r="D32" i="40"/>
  <c r="E32" i="40"/>
  <c r="F32" i="40"/>
  <c r="G32" i="40"/>
  <c r="H32" i="40"/>
  <c r="I32" i="40"/>
  <c r="J32" i="40"/>
  <c r="C33" i="40"/>
  <c r="D33" i="40"/>
  <c r="E33" i="40"/>
  <c r="F33" i="40"/>
  <c r="G33" i="40"/>
  <c r="H33" i="40"/>
  <c r="I33" i="40"/>
  <c r="J33" i="40"/>
  <c r="C34" i="40"/>
  <c r="D34" i="40"/>
  <c r="E34" i="40"/>
  <c r="F34" i="40"/>
  <c r="G34" i="40"/>
  <c r="H34" i="40"/>
  <c r="J34" i="40"/>
  <c r="C35" i="40"/>
  <c r="D35" i="40"/>
  <c r="E35" i="40"/>
  <c r="F35" i="40"/>
  <c r="G35" i="40"/>
  <c r="H35" i="40"/>
  <c r="J35" i="40"/>
  <c r="C36" i="40"/>
  <c r="D36" i="40"/>
  <c r="E36" i="40"/>
  <c r="F36" i="40"/>
  <c r="G36" i="40"/>
  <c r="H36" i="40"/>
  <c r="J36" i="40"/>
  <c r="C37" i="40"/>
  <c r="D37" i="40"/>
  <c r="E37" i="40"/>
  <c r="F37" i="40"/>
  <c r="G37" i="40"/>
  <c r="H37" i="40"/>
  <c r="J37" i="40"/>
  <c r="C38" i="40"/>
  <c r="D38" i="40"/>
  <c r="E38" i="40"/>
  <c r="F38" i="40"/>
  <c r="G38" i="40"/>
  <c r="H38" i="40"/>
  <c r="J38" i="40"/>
  <c r="C39" i="40"/>
  <c r="D39" i="40"/>
  <c r="E39" i="40"/>
  <c r="F39" i="40"/>
  <c r="G39" i="40"/>
  <c r="H39" i="40"/>
  <c r="J39" i="40"/>
  <c r="C40" i="40"/>
  <c r="D40" i="40"/>
  <c r="E40" i="40"/>
  <c r="F40" i="40"/>
  <c r="G40" i="40"/>
  <c r="H40" i="40"/>
  <c r="J40" i="40"/>
  <c r="C41" i="40"/>
  <c r="D41" i="40"/>
  <c r="E41" i="40"/>
  <c r="F41" i="40"/>
  <c r="G41" i="40"/>
  <c r="G41" i="28" s="1"/>
  <c r="H41" i="40"/>
  <c r="J41" i="40"/>
  <c r="C42" i="40"/>
  <c r="D42" i="40"/>
  <c r="E42" i="40"/>
  <c r="F42" i="40"/>
  <c r="G42" i="40"/>
  <c r="H42" i="40"/>
  <c r="J42" i="40"/>
  <c r="C43" i="40"/>
  <c r="D43" i="40"/>
  <c r="E43" i="40"/>
  <c r="F43" i="40"/>
  <c r="G43" i="40"/>
  <c r="H43" i="40"/>
  <c r="J43" i="40"/>
  <c r="C44" i="40"/>
  <c r="D44" i="40"/>
  <c r="E44" i="40"/>
  <c r="F44" i="40"/>
  <c r="G44" i="40"/>
  <c r="H44" i="40"/>
  <c r="J44" i="40"/>
  <c r="C45" i="40"/>
  <c r="D45" i="40"/>
  <c r="E45" i="40"/>
  <c r="F45" i="40"/>
  <c r="G45" i="40"/>
  <c r="H45" i="40"/>
  <c r="J45" i="40"/>
  <c r="C46" i="40"/>
  <c r="D46" i="40"/>
  <c r="E46" i="40"/>
  <c r="F46" i="40"/>
  <c r="G46" i="40"/>
  <c r="H46" i="40"/>
  <c r="J46" i="40"/>
  <c r="C47" i="40"/>
  <c r="D47" i="40"/>
  <c r="E47" i="40"/>
  <c r="F47" i="40"/>
  <c r="G47" i="40"/>
  <c r="H47" i="40"/>
  <c r="C48" i="40"/>
  <c r="D48" i="40"/>
  <c r="E48" i="40"/>
  <c r="F48" i="40"/>
  <c r="G48" i="40"/>
  <c r="H48" i="40"/>
  <c r="C49" i="40"/>
  <c r="D49" i="40"/>
  <c r="E49" i="40"/>
  <c r="F49" i="40"/>
  <c r="G49" i="40"/>
  <c r="H49" i="40"/>
  <c r="C50" i="40"/>
  <c r="D50" i="40"/>
  <c r="E50" i="40"/>
  <c r="F50" i="40"/>
  <c r="G50" i="40"/>
  <c r="H50" i="40"/>
  <c r="C51" i="40"/>
  <c r="D51" i="40"/>
  <c r="E51" i="40"/>
  <c r="F51" i="40"/>
  <c r="G51" i="40"/>
  <c r="H51" i="40"/>
  <c r="C52" i="40"/>
  <c r="D52" i="40"/>
  <c r="E52" i="40"/>
  <c r="F52" i="40"/>
  <c r="G52" i="40"/>
  <c r="H52" i="40"/>
  <c r="I52" i="40"/>
  <c r="J52" i="40"/>
  <c r="C53" i="40"/>
  <c r="D53" i="40"/>
  <c r="E53" i="40"/>
  <c r="F53" i="40"/>
  <c r="G53" i="40"/>
  <c r="H53" i="40"/>
  <c r="J53" i="40"/>
  <c r="C54" i="40"/>
  <c r="D54" i="40"/>
  <c r="E54" i="40"/>
  <c r="F54" i="40"/>
  <c r="G54" i="40"/>
  <c r="H54" i="40"/>
  <c r="J54" i="40"/>
  <c r="C55" i="40"/>
  <c r="D55" i="40"/>
  <c r="E55" i="40"/>
  <c r="F55" i="40"/>
  <c r="G55" i="40"/>
  <c r="H55" i="40"/>
  <c r="J55" i="40"/>
  <c r="C56" i="40"/>
  <c r="D56" i="40"/>
  <c r="E56" i="40"/>
  <c r="F56" i="40"/>
  <c r="G56" i="40"/>
  <c r="H56" i="40"/>
  <c r="J56" i="40"/>
  <c r="C57" i="40"/>
  <c r="D57" i="40"/>
  <c r="E57" i="40"/>
  <c r="F57" i="40"/>
  <c r="G57" i="40"/>
  <c r="H57" i="40"/>
  <c r="J57" i="40"/>
  <c r="C58" i="40"/>
  <c r="D58" i="40"/>
  <c r="E58" i="40"/>
  <c r="F58" i="40"/>
  <c r="G58" i="40"/>
  <c r="H58" i="40"/>
  <c r="J58" i="40"/>
  <c r="C59" i="40"/>
  <c r="D59" i="40"/>
  <c r="E59" i="40"/>
  <c r="F59" i="40"/>
  <c r="G59" i="40"/>
  <c r="H59" i="40"/>
  <c r="J59" i="40"/>
  <c r="C60" i="40"/>
  <c r="D60" i="40"/>
  <c r="E60" i="40"/>
  <c r="F60" i="40"/>
  <c r="G60" i="40"/>
  <c r="H60" i="40"/>
  <c r="J60" i="40"/>
  <c r="C61" i="40"/>
  <c r="D61" i="40"/>
  <c r="E61" i="40"/>
  <c r="F61" i="40"/>
  <c r="G61" i="40"/>
  <c r="H61" i="40"/>
  <c r="J61" i="40"/>
  <c r="C62" i="40"/>
  <c r="D62" i="40"/>
  <c r="E62" i="40"/>
  <c r="F62" i="40"/>
  <c r="G62" i="40"/>
  <c r="H62" i="40"/>
  <c r="J62" i="40"/>
  <c r="C63" i="40"/>
  <c r="D63" i="40"/>
  <c r="E63" i="40"/>
  <c r="F63" i="40"/>
  <c r="G63" i="40"/>
  <c r="H63" i="40"/>
  <c r="J63" i="40"/>
  <c r="C64" i="40"/>
  <c r="D64" i="40"/>
  <c r="E64" i="40"/>
  <c r="F64" i="40"/>
  <c r="G64" i="40"/>
  <c r="H64" i="40"/>
  <c r="J64" i="40"/>
  <c r="C65" i="40"/>
  <c r="D65" i="40"/>
  <c r="E65" i="40"/>
  <c r="F65" i="40"/>
  <c r="G65" i="40"/>
  <c r="H65" i="40"/>
  <c r="J65" i="40"/>
  <c r="C66" i="40"/>
  <c r="D66" i="40"/>
  <c r="E66" i="40"/>
  <c r="F66" i="40"/>
  <c r="G66" i="40"/>
  <c r="H66" i="40"/>
  <c r="I66" i="40"/>
  <c r="J66" i="40"/>
  <c r="C67" i="40"/>
  <c r="D67" i="40"/>
  <c r="E67" i="40"/>
  <c r="F67" i="40"/>
  <c r="G67" i="40"/>
  <c r="H67" i="40"/>
  <c r="I67" i="40"/>
  <c r="J67" i="40"/>
  <c r="C68" i="40"/>
  <c r="D68" i="40"/>
  <c r="E68" i="40"/>
  <c r="F68" i="40"/>
  <c r="G68" i="40"/>
  <c r="H68" i="40"/>
  <c r="I68" i="40"/>
  <c r="J68" i="40"/>
  <c r="C69" i="40"/>
  <c r="D69" i="40"/>
  <c r="E69" i="40"/>
  <c r="F69" i="40"/>
  <c r="G69" i="40"/>
  <c r="H69" i="40"/>
  <c r="I69" i="40"/>
  <c r="J69" i="40"/>
  <c r="C70" i="40"/>
  <c r="D70" i="40"/>
  <c r="E70" i="40"/>
  <c r="F70" i="40"/>
  <c r="G70" i="40"/>
  <c r="H70" i="40"/>
  <c r="I70" i="40"/>
  <c r="J70" i="40"/>
  <c r="C71" i="40"/>
  <c r="D71" i="40"/>
  <c r="E71" i="40"/>
  <c r="F71" i="40"/>
  <c r="G71" i="40"/>
  <c r="H71" i="40"/>
  <c r="I71" i="40"/>
  <c r="J71" i="40"/>
  <c r="C72" i="40"/>
  <c r="D72" i="40"/>
  <c r="E72" i="40"/>
  <c r="F72" i="40"/>
  <c r="G72" i="40"/>
  <c r="H72" i="40"/>
  <c r="I72" i="40"/>
  <c r="J72" i="40"/>
  <c r="C73" i="40"/>
  <c r="D73" i="40"/>
  <c r="E73" i="40"/>
  <c r="F73" i="40"/>
  <c r="G73" i="40"/>
  <c r="H73" i="40"/>
  <c r="I73" i="40"/>
  <c r="J73" i="40"/>
  <c r="C74" i="40"/>
  <c r="D74" i="40"/>
  <c r="E74" i="40"/>
  <c r="F74" i="40"/>
  <c r="G74" i="40"/>
  <c r="H74" i="40"/>
  <c r="I74" i="40"/>
  <c r="J74" i="40"/>
  <c r="C75" i="40"/>
  <c r="D75" i="40"/>
  <c r="E75" i="40"/>
  <c r="F75" i="40"/>
  <c r="G75" i="40"/>
  <c r="H75" i="40"/>
  <c r="I75" i="40"/>
  <c r="J75" i="40"/>
  <c r="C76" i="40"/>
  <c r="D76" i="40"/>
  <c r="E76" i="40"/>
  <c r="F76" i="40"/>
  <c r="G76" i="40"/>
  <c r="H76" i="40"/>
  <c r="I76" i="40"/>
  <c r="J76" i="40"/>
  <c r="C77" i="40"/>
  <c r="D77" i="40"/>
  <c r="E77" i="40"/>
  <c r="F77" i="40"/>
  <c r="G77" i="40"/>
  <c r="H77" i="40"/>
  <c r="I77" i="40"/>
  <c r="J77" i="40"/>
  <c r="E3" i="40"/>
  <c r="F3" i="40"/>
  <c r="G3" i="40"/>
  <c r="H3" i="40"/>
  <c r="I3" i="40"/>
  <c r="J3" i="40"/>
  <c r="C3" i="40"/>
  <c r="D5" i="32"/>
  <c r="D3" i="32"/>
  <c r="I8" i="32"/>
  <c r="I10" i="32"/>
  <c r="I15" i="32"/>
  <c r="D26" i="32"/>
  <c r="D27" i="32"/>
  <c r="D28" i="32"/>
  <c r="D29" i="32"/>
  <c r="D30" i="32"/>
  <c r="D31" i="32"/>
  <c r="D32" i="32"/>
  <c r="D33" i="32"/>
  <c r="D34" i="32"/>
  <c r="I34" i="32"/>
  <c r="D35" i="32"/>
  <c r="D36" i="32"/>
  <c r="I38" i="32"/>
  <c r="D40" i="32"/>
  <c r="I41" i="32"/>
  <c r="I42" i="32"/>
  <c r="I43" i="32"/>
  <c r="I44" i="32"/>
  <c r="I45" i="32"/>
  <c r="I48" i="32"/>
  <c r="I49" i="32"/>
  <c r="I53" i="32"/>
  <c r="I54" i="32"/>
  <c r="I55" i="32"/>
  <c r="I62" i="32"/>
  <c r="I3" i="32"/>
  <c r="D35" i="31"/>
  <c r="D36" i="31"/>
  <c r="D34" i="31"/>
  <c r="D31" i="31"/>
  <c r="D32" i="31"/>
  <c r="D33" i="31"/>
  <c r="D30" i="31"/>
  <c r="D28" i="31"/>
  <c r="D5" i="31"/>
  <c r="D3" i="31"/>
  <c r="I8" i="31"/>
  <c r="I10" i="31"/>
  <c r="I15" i="31"/>
  <c r="I44" i="31"/>
  <c r="I53" i="31"/>
  <c r="I54" i="31"/>
  <c r="I55" i="31"/>
  <c r="I62" i="31"/>
  <c r="D27" i="29"/>
  <c r="D35" i="29"/>
  <c r="D36" i="29"/>
  <c r="D34" i="29"/>
  <c r="D31" i="29"/>
  <c r="D32" i="29"/>
  <c r="D33" i="29"/>
  <c r="D30" i="29"/>
  <c r="D28" i="29"/>
  <c r="I8" i="30"/>
  <c r="I10" i="30"/>
  <c r="D26" i="30"/>
  <c r="I47" i="30"/>
  <c r="D5" i="30" s="1"/>
  <c r="I53" i="30"/>
  <c r="I54" i="30"/>
  <c r="I57" i="30"/>
  <c r="I62" i="30"/>
  <c r="D3" i="29"/>
  <c r="I8" i="29"/>
  <c r="D5" i="29"/>
  <c r="I53" i="29"/>
  <c r="I54" i="29"/>
  <c r="I62" i="29"/>
  <c r="D5" i="28"/>
  <c r="D29" i="28"/>
  <c r="D29" i="30" s="1"/>
  <c r="D31" i="28"/>
  <c r="D31" i="30" s="1"/>
  <c r="D33" i="28"/>
  <c r="D33" i="30" s="1"/>
  <c r="D34" i="28"/>
  <c r="D34" i="30" s="1"/>
  <c r="D40" i="28"/>
  <c r="D40" i="30" s="1"/>
  <c r="F47" i="28"/>
  <c r="E4" i="28"/>
  <c r="H4" i="28"/>
  <c r="C5" i="28"/>
  <c r="C6" i="28"/>
  <c r="E6" i="28"/>
  <c r="F6" i="28"/>
  <c r="H6" i="28"/>
  <c r="H7" i="28"/>
  <c r="H11" i="28"/>
  <c r="H13" i="28"/>
  <c r="H15" i="28"/>
  <c r="H17" i="28"/>
  <c r="H19" i="28"/>
  <c r="H20" i="28"/>
  <c r="H21" i="28"/>
  <c r="H23" i="28"/>
  <c r="H25" i="28"/>
  <c r="E26" i="28"/>
  <c r="H26" i="28"/>
  <c r="C27" i="28"/>
  <c r="F27" i="28"/>
  <c r="H28" i="28"/>
  <c r="F29" i="28"/>
  <c r="H29" i="28"/>
  <c r="C30" i="28"/>
  <c r="H30" i="28"/>
  <c r="F31" i="28"/>
  <c r="C32" i="28"/>
  <c r="F32" i="28"/>
  <c r="F33" i="28"/>
  <c r="H33" i="28"/>
  <c r="C34" i="28"/>
  <c r="F34" i="28"/>
  <c r="H34" i="28"/>
  <c r="F35" i="28"/>
  <c r="H35" i="28"/>
  <c r="C36" i="28"/>
  <c r="H36" i="28"/>
  <c r="C37" i="28"/>
  <c r="F38" i="28"/>
  <c r="H38" i="28"/>
  <c r="C40" i="28"/>
  <c r="F40" i="28"/>
  <c r="C41" i="28"/>
  <c r="F41" i="28"/>
  <c r="F42" i="28"/>
  <c r="H42" i="28"/>
  <c r="F43" i="28"/>
  <c r="H43" i="28"/>
  <c r="C44" i="28"/>
  <c r="F44" i="28"/>
  <c r="C45" i="28"/>
  <c r="F45" i="28"/>
  <c r="H45" i="28"/>
  <c r="E46" i="28"/>
  <c r="F46" i="28"/>
  <c r="C48" i="28"/>
  <c r="C49" i="28"/>
  <c r="E49" i="28"/>
  <c r="F49" i="28"/>
  <c r="H49" i="28"/>
  <c r="C50" i="28"/>
  <c r="E50" i="28"/>
  <c r="H50" i="28"/>
  <c r="C51" i="28"/>
  <c r="E51" i="28"/>
  <c r="E52" i="28"/>
  <c r="H52" i="28"/>
  <c r="E54" i="28"/>
  <c r="E55" i="28"/>
  <c r="C56" i="28"/>
  <c r="C57" i="28"/>
  <c r="E57" i="28"/>
  <c r="C58" i="28"/>
  <c r="F58" i="28"/>
  <c r="D59" i="28"/>
  <c r="F59" i="28"/>
  <c r="C60" i="28"/>
  <c r="E60" i="28"/>
  <c r="F60" i="28"/>
  <c r="H60" i="28"/>
  <c r="C61" i="28"/>
  <c r="F61" i="28"/>
  <c r="H61" i="28"/>
  <c r="C63" i="28"/>
  <c r="F63" i="28"/>
  <c r="C64" i="28"/>
  <c r="F64" i="28"/>
  <c r="C65" i="28"/>
  <c r="D65" i="28"/>
  <c r="C66" i="28"/>
  <c r="F66" i="28"/>
  <c r="H66" i="28"/>
  <c r="C67" i="28"/>
  <c r="E67" i="28"/>
  <c r="F67" i="28"/>
  <c r="C68" i="28"/>
  <c r="F68" i="28"/>
  <c r="C69" i="28"/>
  <c r="D69" i="28"/>
  <c r="F69" i="28"/>
  <c r="C70" i="28"/>
  <c r="C71" i="28"/>
  <c r="F71" i="28"/>
  <c r="C72" i="28"/>
  <c r="F72" i="28"/>
  <c r="C73" i="28"/>
  <c r="H73" i="28"/>
  <c r="C74" i="28"/>
  <c r="E74" i="28"/>
  <c r="F74" i="28"/>
  <c r="C75" i="28"/>
  <c r="D75" i="28"/>
  <c r="F75" i="28"/>
  <c r="C76" i="28"/>
  <c r="F76" i="28"/>
  <c r="C77" i="28"/>
  <c r="F77" i="28"/>
  <c r="G3" i="28"/>
  <c r="J79" i="40"/>
  <c r="I79" i="40"/>
  <c r="H79" i="40"/>
  <c r="G79" i="40"/>
  <c r="J78" i="40"/>
  <c r="I78" i="40"/>
  <c r="H78" i="40"/>
  <c r="G78" i="40"/>
  <c r="B36" i="40"/>
  <c r="B35" i="40"/>
  <c r="B34" i="40"/>
  <c r="B33" i="40"/>
  <c r="B32" i="40"/>
  <c r="B31" i="40"/>
  <c r="B30" i="40"/>
  <c r="B29" i="40"/>
  <c r="B28" i="40"/>
  <c r="B27" i="40"/>
  <c r="B26" i="40"/>
  <c r="G57" i="28" l="1"/>
  <c r="G54" i="28"/>
  <c r="G52" i="28"/>
  <c r="G50" i="28"/>
  <c r="G17" i="28"/>
  <c r="G17" i="30" s="1"/>
  <c r="G23" i="28"/>
  <c r="G9" i="28"/>
  <c r="G9" i="29" s="1"/>
  <c r="G9" i="31" s="1"/>
  <c r="G9" i="32" s="1"/>
  <c r="G7" i="28"/>
  <c r="I3" i="28"/>
  <c r="I3" i="30" s="1"/>
  <c r="D3" i="30" s="1"/>
  <c r="I40" i="28"/>
  <c r="I39" i="28"/>
  <c r="I41" i="30"/>
  <c r="D27" i="28"/>
  <c r="D27" i="30" s="1"/>
  <c r="J20" i="28"/>
  <c r="I56" i="28"/>
  <c r="I56" i="30" s="1"/>
  <c r="I27" i="28"/>
  <c r="I7" i="28"/>
  <c r="I7" i="29" s="1"/>
  <c r="I7" i="31" s="1"/>
  <c r="I7" i="32" s="1"/>
  <c r="I77" i="28"/>
  <c r="I77" i="29" s="1"/>
  <c r="I77" i="31" s="1"/>
  <c r="I77" i="32" s="1"/>
  <c r="I76" i="28"/>
  <c r="I75" i="28"/>
  <c r="I73" i="28"/>
  <c r="I72" i="28"/>
  <c r="I70" i="28"/>
  <c r="I70" i="30" s="1"/>
  <c r="I69" i="28"/>
  <c r="I68" i="28"/>
  <c r="I68" i="30" s="1"/>
  <c r="I67" i="28"/>
  <c r="I67" i="30" s="1"/>
  <c r="I65" i="28"/>
  <c r="I64" i="28"/>
  <c r="I64" i="30" s="1"/>
  <c r="I61" i="28"/>
  <c r="I60" i="28"/>
  <c r="I59" i="28"/>
  <c r="I59" i="30" s="1"/>
  <c r="I28" i="28"/>
  <c r="I23" i="28"/>
  <c r="I23" i="30" s="1"/>
  <c r="I21" i="28"/>
  <c r="I21" i="30" s="1"/>
  <c r="I19" i="28"/>
  <c r="I15" i="28"/>
  <c r="I15" i="30" s="1"/>
  <c r="I13" i="28"/>
  <c r="I9" i="28"/>
  <c r="J8" i="28"/>
  <c r="J8" i="30" s="1"/>
  <c r="J76" i="28"/>
  <c r="J76" i="30" s="1"/>
  <c r="J71" i="28"/>
  <c r="J62" i="28"/>
  <c r="J62" i="30" s="1"/>
  <c r="J60" i="28"/>
  <c r="J46" i="28"/>
  <c r="J46" i="30" s="1"/>
  <c r="J44" i="28"/>
  <c r="J41" i="28"/>
  <c r="J39" i="28"/>
  <c r="J39" i="30" s="1"/>
  <c r="J30" i="28"/>
  <c r="J30" i="30" s="1"/>
  <c r="J28" i="28"/>
  <c r="J28" i="29" s="1"/>
  <c r="J28" i="31" s="1"/>
  <c r="J28" i="32" s="1"/>
  <c r="J25" i="28"/>
  <c r="J25" i="30" s="1"/>
  <c r="J19" i="28"/>
  <c r="I30" i="28"/>
  <c r="I31" i="28"/>
  <c r="I32" i="28"/>
  <c r="I32" i="29" s="1"/>
  <c r="I32" i="31" s="1"/>
  <c r="I32" i="32" s="1"/>
  <c r="I24" i="28"/>
  <c r="I24" i="30" s="1"/>
  <c r="I22" i="28"/>
  <c r="I22" i="29" s="1"/>
  <c r="I22" i="31" s="1"/>
  <c r="I22" i="32" s="1"/>
  <c r="I18" i="28"/>
  <c r="I16" i="28"/>
  <c r="I16" i="29" s="1"/>
  <c r="I16" i="31" s="1"/>
  <c r="I16" i="32" s="1"/>
  <c r="I14" i="28"/>
  <c r="I14" i="29" s="1"/>
  <c r="I14" i="31" s="1"/>
  <c r="I14" i="32" s="1"/>
  <c r="J3" i="28"/>
  <c r="J3" i="30" s="1"/>
  <c r="G68" i="28"/>
  <c r="G22" i="28"/>
  <c r="G77" i="28"/>
  <c r="G77" i="30" s="1"/>
  <c r="G76" i="28"/>
  <c r="G76" i="30" s="1"/>
  <c r="G75" i="28"/>
  <c r="G75" i="30" s="1"/>
  <c r="G74" i="28"/>
  <c r="G73" i="28"/>
  <c r="G72" i="28"/>
  <c r="G72" i="30" s="1"/>
  <c r="G70" i="28"/>
  <c r="G69" i="28"/>
  <c r="G67" i="28"/>
  <c r="G67" i="30" s="1"/>
  <c r="G58" i="28"/>
  <c r="G58" i="30" s="1"/>
  <c r="J52" i="28"/>
  <c r="J52" i="30" s="1"/>
  <c r="G42" i="28"/>
  <c r="G33" i="28"/>
  <c r="G32" i="28"/>
  <c r="G32" i="29" s="1"/>
  <c r="G32" i="31" s="1"/>
  <c r="G32" i="32" s="1"/>
  <c r="G29" i="28"/>
  <c r="J23" i="28"/>
  <c r="J21" i="28"/>
  <c r="J21" i="29" s="1"/>
  <c r="J21" i="31" s="1"/>
  <c r="J21" i="32" s="1"/>
  <c r="J17" i="28"/>
  <c r="J17" i="29" s="1"/>
  <c r="J17" i="31" s="1"/>
  <c r="J17" i="32" s="1"/>
  <c r="J5" i="28"/>
  <c r="J5" i="29" s="1"/>
  <c r="J5" i="31" s="1"/>
  <c r="J5" i="32" s="1"/>
  <c r="J37" i="28"/>
  <c r="G65" i="28"/>
  <c r="J38" i="28"/>
  <c r="J38" i="29" s="1"/>
  <c r="J38" i="31" s="1"/>
  <c r="J38" i="32" s="1"/>
  <c r="G15" i="28"/>
  <c r="G4" i="28"/>
  <c r="J13" i="28"/>
  <c r="J13" i="29" s="1"/>
  <c r="J13" i="31" s="1"/>
  <c r="J13" i="32" s="1"/>
  <c r="G60" i="28"/>
  <c r="G60" i="30" s="1"/>
  <c r="G61" i="28"/>
  <c r="G61" i="30" s="1"/>
  <c r="J55" i="28"/>
  <c r="G53" i="28"/>
  <c r="F26" i="28"/>
  <c r="F26" i="30" s="1"/>
  <c r="G21" i="28"/>
  <c r="G19" i="28"/>
  <c r="J12" i="28"/>
  <c r="J12" i="30" s="1"/>
  <c r="J10" i="28"/>
  <c r="J10" i="30" s="1"/>
  <c r="G6" i="28"/>
  <c r="G6" i="29" s="1"/>
  <c r="G6" i="31" s="1"/>
  <c r="G6" i="32" s="1"/>
  <c r="G5" i="28"/>
  <c r="F4" i="28"/>
  <c r="F4" i="30" s="1"/>
  <c r="J43" i="28"/>
  <c r="J43" i="30" s="1"/>
  <c r="J15" i="28"/>
  <c r="G44" i="28"/>
  <c r="J27" i="28"/>
  <c r="J27" i="29" s="1"/>
  <c r="J27" i="31" s="1"/>
  <c r="J27" i="32" s="1"/>
  <c r="G62" i="28"/>
  <c r="G62" i="30" s="1"/>
  <c r="J56" i="28"/>
  <c r="J56" i="30" s="1"/>
  <c r="G46" i="28"/>
  <c r="G27" i="28"/>
  <c r="G27" i="29" s="1"/>
  <c r="G27" i="31" s="1"/>
  <c r="G27" i="32" s="1"/>
  <c r="J22" i="28"/>
  <c r="J22" i="30" s="1"/>
  <c r="J18" i="28"/>
  <c r="J16" i="28"/>
  <c r="J7" i="28"/>
  <c r="J7" i="30" s="1"/>
  <c r="J4" i="28"/>
  <c r="J4" i="30" s="1"/>
  <c r="J54" i="28"/>
  <c r="J54" i="29" s="1"/>
  <c r="J54" i="31" s="1"/>
  <c r="J54" i="32" s="1"/>
  <c r="G63" i="28"/>
  <c r="G47" i="28"/>
  <c r="J33" i="28"/>
  <c r="J33" i="29" s="1"/>
  <c r="J33" i="31" s="1"/>
  <c r="J33" i="32" s="1"/>
  <c r="J32" i="28"/>
  <c r="J31" i="28"/>
  <c r="J24" i="28"/>
  <c r="J24" i="29" s="1"/>
  <c r="J24" i="31" s="1"/>
  <c r="J24" i="32" s="1"/>
  <c r="J35" i="28"/>
  <c r="J35" i="30" s="1"/>
  <c r="G24" i="28"/>
  <c r="G24" i="30" s="1"/>
  <c r="J11" i="28"/>
  <c r="G64" i="28"/>
  <c r="G56" i="28"/>
  <c r="G56" i="29" s="1"/>
  <c r="G56" i="31" s="1"/>
  <c r="G56" i="32" s="1"/>
  <c r="G48" i="28"/>
  <c r="J42" i="28"/>
  <c r="J42" i="30" s="1"/>
  <c r="J34" i="28"/>
  <c r="J34" i="30" s="1"/>
  <c r="G28" i="28"/>
  <c r="G28" i="30" s="1"/>
  <c r="G16" i="28"/>
  <c r="G16" i="29" s="1"/>
  <c r="G16" i="31" s="1"/>
  <c r="G16" i="32" s="1"/>
  <c r="G14" i="28"/>
  <c r="J9" i="28"/>
  <c r="J9" i="30" s="1"/>
  <c r="D25" i="28"/>
  <c r="D25" i="30" s="1"/>
  <c r="I11" i="28"/>
  <c r="I11" i="29" s="1"/>
  <c r="I11" i="31" s="1"/>
  <c r="I11" i="32" s="1"/>
  <c r="J61" i="28"/>
  <c r="J61" i="29" s="1"/>
  <c r="J61" i="31" s="1"/>
  <c r="J61" i="32" s="1"/>
  <c r="J53" i="28"/>
  <c r="J53" i="30" s="1"/>
  <c r="J45" i="28"/>
  <c r="J45" i="30" s="1"/>
  <c r="F30" i="28"/>
  <c r="F30" i="30" s="1"/>
  <c r="G8" i="28"/>
  <c r="J40" i="28"/>
  <c r="J40" i="30" s="1"/>
  <c r="G38" i="28"/>
  <c r="F5" i="28"/>
  <c r="G49" i="28"/>
  <c r="G31" i="28"/>
  <c r="G31" i="30" s="1"/>
  <c r="J26" i="28"/>
  <c r="J26" i="30" s="1"/>
  <c r="J63" i="28"/>
  <c r="J63" i="30" s="1"/>
  <c r="G45" i="28"/>
  <c r="G37" i="28"/>
  <c r="G37" i="29" s="1"/>
  <c r="G37" i="31" s="1"/>
  <c r="G37" i="32" s="1"/>
  <c r="J64" i="28"/>
  <c r="J64" i="30" s="1"/>
  <c r="J77" i="28"/>
  <c r="J77" i="30" s="1"/>
  <c r="J75" i="28"/>
  <c r="J75" i="29" s="1"/>
  <c r="J75" i="31" s="1"/>
  <c r="J75" i="32" s="1"/>
  <c r="J74" i="28"/>
  <c r="J74" i="29" s="1"/>
  <c r="J74" i="31" s="1"/>
  <c r="J74" i="32" s="1"/>
  <c r="J72" i="28"/>
  <c r="J72" i="30" s="1"/>
  <c r="J70" i="28"/>
  <c r="J70" i="30" s="1"/>
  <c r="J69" i="28"/>
  <c r="J69" i="30" s="1"/>
  <c r="J68" i="28"/>
  <c r="J68" i="29" s="1"/>
  <c r="J68" i="31" s="1"/>
  <c r="J68" i="32" s="1"/>
  <c r="J67" i="28"/>
  <c r="J67" i="30" s="1"/>
  <c r="J66" i="28"/>
  <c r="J65" i="28"/>
  <c r="J29" i="28"/>
  <c r="J29" i="30" s="1"/>
  <c r="J58" i="28"/>
  <c r="J58" i="30" s="1"/>
  <c r="G40" i="28"/>
  <c r="G40" i="30" s="1"/>
  <c r="J59" i="28"/>
  <c r="J59" i="29" s="1"/>
  <c r="J59" i="31" s="1"/>
  <c r="J59" i="32" s="1"/>
  <c r="J36" i="28"/>
  <c r="J36" i="30" s="1"/>
  <c r="G30" i="28"/>
  <c r="G51" i="28"/>
  <c r="G26" i="28"/>
  <c r="H3" i="28"/>
  <c r="H3" i="30" s="1"/>
  <c r="I6" i="30"/>
  <c r="I6" i="29"/>
  <c r="I6" i="31" s="1"/>
  <c r="I6" i="32" s="1"/>
  <c r="I4" i="30"/>
  <c r="D4" i="30" s="1"/>
  <c r="I4" i="29"/>
  <c r="D4" i="28"/>
  <c r="I44" i="28"/>
  <c r="I44" i="30" s="1"/>
  <c r="I13" i="29"/>
  <c r="I13" i="31" s="1"/>
  <c r="I13" i="32" s="1"/>
  <c r="I13" i="30"/>
  <c r="I23" i="29"/>
  <c r="I23" i="31" s="1"/>
  <c r="I23" i="32" s="1"/>
  <c r="I17" i="30"/>
  <c r="I17" i="29"/>
  <c r="I17" i="31" s="1"/>
  <c r="I17" i="32" s="1"/>
  <c r="I14" i="30"/>
  <c r="G59" i="28"/>
  <c r="G59" i="29" s="1"/>
  <c r="G59" i="31" s="1"/>
  <c r="G59" i="32" s="1"/>
  <c r="G43" i="28"/>
  <c r="G35" i="28"/>
  <c r="G35" i="29" s="1"/>
  <c r="G35" i="31" s="1"/>
  <c r="G35" i="32" s="1"/>
  <c r="I20" i="29"/>
  <c r="I20" i="31" s="1"/>
  <c r="I20" i="32" s="1"/>
  <c r="C3" i="28"/>
  <c r="C3" i="29" s="1"/>
  <c r="C3" i="31" s="1"/>
  <c r="C3" i="32" s="1"/>
  <c r="C76" i="30"/>
  <c r="C76" i="29"/>
  <c r="C76" i="31" s="1"/>
  <c r="C76" i="32" s="1"/>
  <c r="C71" i="30"/>
  <c r="C71" i="29"/>
  <c r="C71" i="31" s="1"/>
  <c r="C71" i="32" s="1"/>
  <c r="C67" i="30"/>
  <c r="C67" i="29"/>
  <c r="C67" i="31" s="1"/>
  <c r="C67" i="32" s="1"/>
  <c r="C64" i="30"/>
  <c r="C64" i="29"/>
  <c r="C64" i="31" s="1"/>
  <c r="C64" i="32" s="1"/>
  <c r="C62" i="29"/>
  <c r="C62" i="31" s="1"/>
  <c r="C62" i="32" s="1"/>
  <c r="C62" i="30"/>
  <c r="C58" i="29"/>
  <c r="C58" i="31" s="1"/>
  <c r="C58" i="32" s="1"/>
  <c r="C58" i="30"/>
  <c r="C25" i="29"/>
  <c r="C25" i="31" s="1"/>
  <c r="C25" i="32" s="1"/>
  <c r="C25" i="30"/>
  <c r="I74" i="30"/>
  <c r="I74" i="29"/>
  <c r="I74" i="31" s="1"/>
  <c r="I74" i="32" s="1"/>
  <c r="C70" i="30"/>
  <c r="C70" i="29"/>
  <c r="C70" i="31" s="1"/>
  <c r="C70" i="32" s="1"/>
  <c r="C61" i="29"/>
  <c r="C61" i="31" s="1"/>
  <c r="C61" i="32" s="1"/>
  <c r="C61" i="30"/>
  <c r="C73" i="30"/>
  <c r="C73" i="29"/>
  <c r="C73" i="31" s="1"/>
  <c r="C73" i="32" s="1"/>
  <c r="C68" i="30"/>
  <c r="C68" i="29"/>
  <c r="C68" i="31" s="1"/>
  <c r="C68" i="32" s="1"/>
  <c r="C65" i="30"/>
  <c r="C65" i="29"/>
  <c r="C65" i="31" s="1"/>
  <c r="C65" i="32" s="1"/>
  <c r="C63" i="29"/>
  <c r="C63" i="31" s="1"/>
  <c r="C63" i="32" s="1"/>
  <c r="C63" i="30"/>
  <c r="C59" i="29"/>
  <c r="C59" i="31" s="1"/>
  <c r="C59" i="32" s="1"/>
  <c r="C59" i="30"/>
  <c r="C39" i="30"/>
  <c r="C39" i="29"/>
  <c r="C39" i="31" s="1"/>
  <c r="C39" i="32" s="1"/>
  <c r="H73" i="30"/>
  <c r="H73" i="29"/>
  <c r="H73" i="31" s="1"/>
  <c r="H73" i="32" s="1"/>
  <c r="C75" i="30"/>
  <c r="C75" i="29"/>
  <c r="C75" i="31" s="1"/>
  <c r="C75" i="32" s="1"/>
  <c r="C66" i="30"/>
  <c r="C66" i="29"/>
  <c r="C66" i="31" s="1"/>
  <c r="C66" i="32" s="1"/>
  <c r="C74" i="30"/>
  <c r="C74" i="29"/>
  <c r="C74" i="31" s="1"/>
  <c r="C74" i="32" s="1"/>
  <c r="E71" i="30"/>
  <c r="E71" i="29"/>
  <c r="E71" i="31" s="1"/>
  <c r="E71" i="32" s="1"/>
  <c r="C77" i="30"/>
  <c r="C77" i="29"/>
  <c r="C77" i="31" s="1"/>
  <c r="C77" i="32" s="1"/>
  <c r="C69" i="30"/>
  <c r="C69" i="29"/>
  <c r="C69" i="31" s="1"/>
  <c r="C69" i="32" s="1"/>
  <c r="C44" i="30"/>
  <c r="C44" i="29"/>
  <c r="C44" i="31" s="1"/>
  <c r="C44" i="32" s="1"/>
  <c r="C72" i="30"/>
  <c r="C72" i="29"/>
  <c r="C72" i="31" s="1"/>
  <c r="C72" i="32" s="1"/>
  <c r="C60" i="29"/>
  <c r="C60" i="31" s="1"/>
  <c r="C60" i="32" s="1"/>
  <c r="C60" i="30"/>
  <c r="D44" i="28"/>
  <c r="D44" i="30" s="1"/>
  <c r="I63" i="28"/>
  <c r="I46" i="30"/>
  <c r="I46" i="29"/>
  <c r="I46" i="31" s="1"/>
  <c r="I46" i="32" s="1"/>
  <c r="I32" i="30"/>
  <c r="H75" i="30"/>
  <c r="H75" i="29"/>
  <c r="H75" i="31" s="1"/>
  <c r="H75" i="32" s="1"/>
  <c r="H64" i="30"/>
  <c r="H64" i="29"/>
  <c r="H64" i="31" s="1"/>
  <c r="H64" i="32" s="1"/>
  <c r="C57" i="29"/>
  <c r="C57" i="31" s="1"/>
  <c r="C57" i="32" s="1"/>
  <c r="C57" i="30"/>
  <c r="C56" i="29"/>
  <c r="C56" i="31" s="1"/>
  <c r="C56" i="32" s="1"/>
  <c r="C56" i="30"/>
  <c r="C55" i="30"/>
  <c r="C55" i="29"/>
  <c r="C55" i="31" s="1"/>
  <c r="C55" i="32" s="1"/>
  <c r="C54" i="29"/>
  <c r="C54" i="31" s="1"/>
  <c r="C54" i="32" s="1"/>
  <c r="C54" i="30"/>
  <c r="C53" i="30"/>
  <c r="C53" i="29"/>
  <c r="C53" i="31" s="1"/>
  <c r="C53" i="32" s="1"/>
  <c r="C52" i="29"/>
  <c r="C52" i="31" s="1"/>
  <c r="C52" i="32" s="1"/>
  <c r="C52" i="30"/>
  <c r="C51" i="29"/>
  <c r="C51" i="31" s="1"/>
  <c r="C51" i="32" s="1"/>
  <c r="C51" i="30"/>
  <c r="C50" i="30"/>
  <c r="C50" i="29"/>
  <c r="C50" i="31" s="1"/>
  <c r="C50" i="32" s="1"/>
  <c r="C49" i="30"/>
  <c r="C49" i="29"/>
  <c r="C49" i="31" s="1"/>
  <c r="C49" i="32" s="1"/>
  <c r="C48" i="30"/>
  <c r="C48" i="29"/>
  <c r="C48" i="31" s="1"/>
  <c r="C48" i="32" s="1"/>
  <c r="C47" i="29"/>
  <c r="C47" i="31" s="1"/>
  <c r="C47" i="32" s="1"/>
  <c r="C47" i="30"/>
  <c r="C46" i="30"/>
  <c r="C46" i="29"/>
  <c r="C46" i="31" s="1"/>
  <c r="C46" i="32" s="1"/>
  <c r="C45" i="29"/>
  <c r="C45" i="31" s="1"/>
  <c r="C45" i="32" s="1"/>
  <c r="C45" i="30"/>
  <c r="C43" i="29"/>
  <c r="C43" i="31" s="1"/>
  <c r="C43" i="32" s="1"/>
  <c r="C43" i="30"/>
  <c r="C42" i="30"/>
  <c r="C42" i="29"/>
  <c r="C42" i="31" s="1"/>
  <c r="C42" i="32" s="1"/>
  <c r="C41" i="29"/>
  <c r="C41" i="31" s="1"/>
  <c r="C41" i="32" s="1"/>
  <c r="C41" i="30"/>
  <c r="C40" i="30"/>
  <c r="C40" i="29"/>
  <c r="C40" i="31" s="1"/>
  <c r="C40" i="32" s="1"/>
  <c r="C38" i="29"/>
  <c r="C38" i="31" s="1"/>
  <c r="C38" i="32" s="1"/>
  <c r="C38" i="30"/>
  <c r="C37" i="30"/>
  <c r="C37" i="29"/>
  <c r="C37" i="31" s="1"/>
  <c r="C37" i="32" s="1"/>
  <c r="C36" i="30"/>
  <c r="C36" i="29"/>
  <c r="C36" i="31" s="1"/>
  <c r="C36" i="32" s="1"/>
  <c r="C35" i="30"/>
  <c r="C35" i="29"/>
  <c r="C35" i="31" s="1"/>
  <c r="C35" i="32" s="1"/>
  <c r="C34" i="29"/>
  <c r="C34" i="31" s="1"/>
  <c r="C34" i="32" s="1"/>
  <c r="C34" i="30"/>
  <c r="C32" i="30"/>
  <c r="C32" i="29"/>
  <c r="C32" i="31" s="1"/>
  <c r="C32" i="32" s="1"/>
  <c r="C31" i="29"/>
  <c r="C31" i="31" s="1"/>
  <c r="C31" i="32" s="1"/>
  <c r="C31" i="30"/>
  <c r="C30" i="30"/>
  <c r="C30" i="29"/>
  <c r="C30" i="31" s="1"/>
  <c r="C30" i="32" s="1"/>
  <c r="C29" i="30"/>
  <c r="C29" i="29"/>
  <c r="C29" i="31" s="1"/>
  <c r="C29" i="32" s="1"/>
  <c r="C28" i="29"/>
  <c r="C28" i="31" s="1"/>
  <c r="C28" i="32" s="1"/>
  <c r="C28" i="30"/>
  <c r="C27" i="30"/>
  <c r="C27" i="29"/>
  <c r="C27" i="31" s="1"/>
  <c r="C27" i="32" s="1"/>
  <c r="C26" i="29"/>
  <c r="C26" i="31" s="1"/>
  <c r="C26" i="32" s="1"/>
  <c r="C26" i="30"/>
  <c r="G20" i="29"/>
  <c r="G20" i="31" s="1"/>
  <c r="G20" i="32" s="1"/>
  <c r="G20" i="30"/>
  <c r="G18" i="29"/>
  <c r="G18" i="31" s="1"/>
  <c r="G18" i="32" s="1"/>
  <c r="G18" i="30"/>
  <c r="J15" i="29"/>
  <c r="J15" i="31" s="1"/>
  <c r="J15" i="32" s="1"/>
  <c r="J15" i="30"/>
  <c r="H13" i="30"/>
  <c r="H13" i="29"/>
  <c r="H13" i="31" s="1"/>
  <c r="H13" i="32" s="1"/>
  <c r="H4" i="30"/>
  <c r="H4" i="29"/>
  <c r="H4" i="31" s="1"/>
  <c r="H4" i="32" s="1"/>
  <c r="I52" i="30"/>
  <c r="I52" i="29"/>
  <c r="I52" i="31" s="1"/>
  <c r="I52" i="32" s="1"/>
  <c r="E34" i="30"/>
  <c r="E34" i="29"/>
  <c r="E34" i="31" s="1"/>
  <c r="E34" i="32" s="1"/>
  <c r="G11" i="30"/>
  <c r="G11" i="29"/>
  <c r="G11" i="31" s="1"/>
  <c r="G11" i="32" s="1"/>
  <c r="J57" i="30"/>
  <c r="J57" i="29"/>
  <c r="J57" i="31" s="1"/>
  <c r="J57" i="32" s="1"/>
  <c r="J51" i="30"/>
  <c r="J51" i="29"/>
  <c r="J51" i="31" s="1"/>
  <c r="J50" i="30"/>
  <c r="J50" i="29"/>
  <c r="J50" i="31" s="1"/>
  <c r="J49" i="30"/>
  <c r="J49" i="29"/>
  <c r="J49" i="31" s="1"/>
  <c r="J48" i="30"/>
  <c r="J48" i="29"/>
  <c r="J48" i="31" s="1"/>
  <c r="J47" i="30"/>
  <c r="J47" i="29"/>
  <c r="J47" i="31" s="1"/>
  <c r="J44" i="30"/>
  <c r="J44" i="29"/>
  <c r="J44" i="31" s="1"/>
  <c r="J44" i="32" s="1"/>
  <c r="J42" i="29"/>
  <c r="J42" i="31" s="1"/>
  <c r="J42" i="32" s="1"/>
  <c r="J41" i="30"/>
  <c r="J41" i="29"/>
  <c r="J41" i="31" s="1"/>
  <c r="J41" i="32" s="1"/>
  <c r="J39" i="29"/>
  <c r="J39" i="31" s="1"/>
  <c r="J39" i="32" s="1"/>
  <c r="J37" i="30"/>
  <c r="J37" i="29"/>
  <c r="J37" i="31" s="1"/>
  <c r="J37" i="32" s="1"/>
  <c r="J32" i="30"/>
  <c r="J32" i="29"/>
  <c r="J32" i="31" s="1"/>
  <c r="J32" i="32" s="1"/>
  <c r="J27" i="30"/>
  <c r="J25" i="29"/>
  <c r="J25" i="31" s="1"/>
  <c r="J25" i="32" s="1"/>
  <c r="H22" i="30"/>
  <c r="H22" i="29"/>
  <c r="H22" i="31" s="1"/>
  <c r="H22" i="32" s="1"/>
  <c r="J19" i="29"/>
  <c r="J19" i="31" s="1"/>
  <c r="J19" i="32" s="1"/>
  <c r="J19" i="30"/>
  <c r="I51" i="28"/>
  <c r="D38" i="28"/>
  <c r="D38" i="30" s="1"/>
  <c r="H42" i="30"/>
  <c r="H42" i="29"/>
  <c r="H42" i="31" s="1"/>
  <c r="H42" i="32" s="1"/>
  <c r="C33" i="29"/>
  <c r="C33" i="31" s="1"/>
  <c r="C33" i="32" s="1"/>
  <c r="C33" i="30"/>
  <c r="G17" i="29"/>
  <c r="G17" i="31" s="1"/>
  <c r="G17" i="32" s="1"/>
  <c r="G9" i="30"/>
  <c r="I73" i="30"/>
  <c r="I73" i="29"/>
  <c r="I73" i="31" s="1"/>
  <c r="I73" i="32" s="1"/>
  <c r="I39" i="30"/>
  <c r="I39" i="29"/>
  <c r="I39" i="31" s="1"/>
  <c r="I39" i="32" s="1"/>
  <c r="I35" i="28"/>
  <c r="D41" i="28"/>
  <c r="D41" i="30" s="1"/>
  <c r="I31" i="30"/>
  <c r="I31" i="29"/>
  <c r="I31" i="31" s="1"/>
  <c r="I31" i="32" s="1"/>
  <c r="I25" i="30"/>
  <c r="I25" i="29"/>
  <c r="I25" i="31" s="1"/>
  <c r="I25" i="32" s="1"/>
  <c r="G22" i="29"/>
  <c r="G22" i="31" s="1"/>
  <c r="G22" i="32" s="1"/>
  <c r="G22" i="30"/>
  <c r="I19" i="30"/>
  <c r="I19" i="29"/>
  <c r="I19" i="31" s="1"/>
  <c r="I19" i="32" s="1"/>
  <c r="H17" i="30"/>
  <c r="H17" i="29"/>
  <c r="H17" i="31" s="1"/>
  <c r="H17" i="32" s="1"/>
  <c r="H15" i="30"/>
  <c r="H15" i="29"/>
  <c r="H15" i="31" s="1"/>
  <c r="H15" i="32" s="1"/>
  <c r="H10" i="30"/>
  <c r="H10" i="29"/>
  <c r="H10" i="31" s="1"/>
  <c r="H10" i="32" s="1"/>
  <c r="H8" i="30"/>
  <c r="H8" i="29"/>
  <c r="H8" i="31" s="1"/>
  <c r="H8" i="32" s="1"/>
  <c r="H6" i="30"/>
  <c r="H6" i="29"/>
  <c r="H6" i="31" s="1"/>
  <c r="H6" i="32" s="1"/>
  <c r="H5" i="30"/>
  <c r="H5" i="29"/>
  <c r="H5" i="31" s="1"/>
  <c r="H5" i="32" s="1"/>
  <c r="F4" i="29"/>
  <c r="F4" i="31" s="1"/>
  <c r="F4" i="32" s="1"/>
  <c r="F41" i="30"/>
  <c r="F41" i="29"/>
  <c r="F41" i="31" s="1"/>
  <c r="F41" i="32" s="1"/>
  <c r="J31" i="30"/>
  <c r="J31" i="29"/>
  <c r="J31" i="31" s="1"/>
  <c r="J31" i="32" s="1"/>
  <c r="G23" i="30"/>
  <c r="G23" i="29"/>
  <c r="G23" i="31" s="1"/>
  <c r="G23" i="32" s="1"/>
  <c r="G15" i="30"/>
  <c r="G15" i="29"/>
  <c r="G15" i="31" s="1"/>
  <c r="G15" i="32" s="1"/>
  <c r="J6" i="30"/>
  <c r="J6" i="29"/>
  <c r="J6" i="31" s="1"/>
  <c r="J6" i="32" s="1"/>
  <c r="J69" i="29"/>
  <c r="J69" i="31" s="1"/>
  <c r="J69" i="32" s="1"/>
  <c r="J60" i="30"/>
  <c r="J60" i="29"/>
  <c r="J60" i="31" s="1"/>
  <c r="J60" i="32" s="1"/>
  <c r="I72" i="30"/>
  <c r="I72" i="29"/>
  <c r="I72" i="31" s="1"/>
  <c r="I72" i="32" s="1"/>
  <c r="I60" i="30"/>
  <c r="I60" i="29"/>
  <c r="I60" i="31" s="1"/>
  <c r="I60" i="32" s="1"/>
  <c r="I33" i="30"/>
  <c r="I33" i="29"/>
  <c r="I33" i="31" s="1"/>
  <c r="I33" i="32" s="1"/>
  <c r="H74" i="29"/>
  <c r="H74" i="31" s="1"/>
  <c r="H74" i="32" s="1"/>
  <c r="H74" i="30"/>
  <c r="H68" i="30"/>
  <c r="H68" i="29"/>
  <c r="H68" i="31" s="1"/>
  <c r="H68" i="32" s="1"/>
  <c r="H66" i="30"/>
  <c r="H66" i="29"/>
  <c r="H66" i="31" s="1"/>
  <c r="H66" i="32" s="1"/>
  <c r="H61" i="30"/>
  <c r="H61" i="29"/>
  <c r="H61" i="31" s="1"/>
  <c r="H61" i="32" s="1"/>
  <c r="H58" i="30"/>
  <c r="H58" i="29"/>
  <c r="H58" i="31" s="1"/>
  <c r="H58" i="32" s="1"/>
  <c r="H57" i="29"/>
  <c r="H57" i="31" s="1"/>
  <c r="H57" i="32" s="1"/>
  <c r="H57" i="30"/>
  <c r="H56" i="30"/>
  <c r="H56" i="29"/>
  <c r="H56" i="31" s="1"/>
  <c r="H56" i="32" s="1"/>
  <c r="H55" i="30"/>
  <c r="H55" i="29"/>
  <c r="H55" i="31" s="1"/>
  <c r="H55" i="32" s="1"/>
  <c r="H54" i="30"/>
  <c r="H54" i="29"/>
  <c r="H54" i="31" s="1"/>
  <c r="H54" i="32" s="1"/>
  <c r="H53" i="30"/>
  <c r="H53" i="29"/>
  <c r="H53" i="31" s="1"/>
  <c r="H53" i="32" s="1"/>
  <c r="H52" i="30"/>
  <c r="H52" i="29"/>
  <c r="H52" i="31" s="1"/>
  <c r="H52" i="32" s="1"/>
  <c r="H51" i="30"/>
  <c r="H51" i="29"/>
  <c r="H51" i="31" s="1"/>
  <c r="H51" i="32" s="1"/>
  <c r="H50" i="30"/>
  <c r="H50" i="29"/>
  <c r="H50" i="31" s="1"/>
  <c r="H50" i="32" s="1"/>
  <c r="H48" i="29"/>
  <c r="H48" i="31" s="1"/>
  <c r="H48" i="32" s="1"/>
  <c r="H48" i="30"/>
  <c r="H47" i="29"/>
  <c r="H47" i="31" s="1"/>
  <c r="H47" i="32" s="1"/>
  <c r="H47" i="30"/>
  <c r="H46" i="29"/>
  <c r="H46" i="31" s="1"/>
  <c r="H46" i="32" s="1"/>
  <c r="H46" i="30"/>
  <c r="H45" i="30"/>
  <c r="H45" i="29"/>
  <c r="H45" i="31" s="1"/>
  <c r="H45" i="32" s="1"/>
  <c r="H44" i="30"/>
  <c r="H44" i="29"/>
  <c r="H44" i="31" s="1"/>
  <c r="H44" i="32" s="1"/>
  <c r="H43" i="30"/>
  <c r="H43" i="29"/>
  <c r="H43" i="31" s="1"/>
  <c r="H43" i="32" s="1"/>
  <c r="H41" i="30"/>
  <c r="H41" i="29"/>
  <c r="H41" i="31" s="1"/>
  <c r="H41" i="32" s="1"/>
  <c r="H40" i="29"/>
  <c r="H40" i="31" s="1"/>
  <c r="H40" i="32" s="1"/>
  <c r="H40" i="30"/>
  <c r="H39" i="30"/>
  <c r="H39" i="29"/>
  <c r="H39" i="31" s="1"/>
  <c r="H39" i="32" s="1"/>
  <c r="H38" i="29"/>
  <c r="H38" i="31" s="1"/>
  <c r="H38" i="32" s="1"/>
  <c r="H38" i="30"/>
  <c r="H37" i="30"/>
  <c r="H37" i="29"/>
  <c r="H37" i="31" s="1"/>
  <c r="H37" i="32" s="1"/>
  <c r="H35" i="29"/>
  <c r="H35" i="31" s="1"/>
  <c r="H35" i="32" s="1"/>
  <c r="H35" i="30"/>
  <c r="H34" i="30"/>
  <c r="H34" i="29"/>
  <c r="H34" i="31" s="1"/>
  <c r="H34" i="32" s="1"/>
  <c r="H33" i="29"/>
  <c r="H33" i="31" s="1"/>
  <c r="H33" i="32" s="1"/>
  <c r="H33" i="30"/>
  <c r="H32" i="30"/>
  <c r="H32" i="29"/>
  <c r="H32" i="31" s="1"/>
  <c r="H32" i="32" s="1"/>
  <c r="H31" i="30"/>
  <c r="H31" i="29"/>
  <c r="H31" i="31" s="1"/>
  <c r="H31" i="32" s="1"/>
  <c r="H30" i="29"/>
  <c r="H30" i="31" s="1"/>
  <c r="H30" i="32" s="1"/>
  <c r="H30" i="30"/>
  <c r="H28" i="29"/>
  <c r="H28" i="31" s="1"/>
  <c r="H28" i="32" s="1"/>
  <c r="H28" i="30"/>
  <c r="H27" i="30"/>
  <c r="H27" i="29"/>
  <c r="H27" i="31" s="1"/>
  <c r="H27" i="32" s="1"/>
  <c r="H26" i="29"/>
  <c r="H26" i="31" s="1"/>
  <c r="H26" i="32" s="1"/>
  <c r="H26" i="30"/>
  <c r="H25" i="30"/>
  <c r="H25" i="29"/>
  <c r="H25" i="31" s="1"/>
  <c r="H25" i="32" s="1"/>
  <c r="H24" i="30"/>
  <c r="H24" i="29"/>
  <c r="H24" i="31" s="1"/>
  <c r="H24" i="32" s="1"/>
  <c r="H19" i="30"/>
  <c r="H19" i="29"/>
  <c r="H19" i="31" s="1"/>
  <c r="H19" i="32" s="1"/>
  <c r="H12" i="30"/>
  <c r="H12" i="29"/>
  <c r="H12" i="31" s="1"/>
  <c r="H12" i="32" s="1"/>
  <c r="G10" i="30"/>
  <c r="G10" i="29"/>
  <c r="G10" i="31" s="1"/>
  <c r="G10" i="32" s="1"/>
  <c r="G8" i="30"/>
  <c r="G8" i="29"/>
  <c r="G8" i="31" s="1"/>
  <c r="G8" i="32" s="1"/>
  <c r="G5" i="30"/>
  <c r="G5" i="29"/>
  <c r="G5" i="31" s="1"/>
  <c r="G5" i="32" s="1"/>
  <c r="E4" i="30"/>
  <c r="E4" i="29"/>
  <c r="E4" i="31" s="1"/>
  <c r="E4" i="32" s="1"/>
  <c r="H49" i="29"/>
  <c r="H49" i="31" s="1"/>
  <c r="H49" i="32" s="1"/>
  <c r="H49" i="30"/>
  <c r="E40" i="30"/>
  <c r="E40" i="29"/>
  <c r="E40" i="31" s="1"/>
  <c r="E40" i="32" s="1"/>
  <c r="I30" i="30"/>
  <c r="I30" i="29"/>
  <c r="I30" i="31" s="1"/>
  <c r="I30" i="32" s="1"/>
  <c r="I5" i="30"/>
  <c r="I5" i="29"/>
  <c r="I5" i="31" s="1"/>
  <c r="I5" i="32" s="1"/>
  <c r="J71" i="30"/>
  <c r="J71" i="29"/>
  <c r="J71" i="31" s="1"/>
  <c r="J71" i="32" s="1"/>
  <c r="I69" i="30"/>
  <c r="I69" i="29"/>
  <c r="I69" i="31" s="1"/>
  <c r="I69" i="32" s="1"/>
  <c r="I66" i="30"/>
  <c r="I66" i="29"/>
  <c r="I66" i="31" s="1"/>
  <c r="I66" i="32" s="1"/>
  <c r="I40" i="30"/>
  <c r="I40" i="29"/>
  <c r="I40" i="31" s="1"/>
  <c r="I40" i="32" s="1"/>
  <c r="I26" i="30"/>
  <c r="I26" i="29"/>
  <c r="I26" i="31" s="1"/>
  <c r="I26" i="32" s="1"/>
  <c r="H71" i="30"/>
  <c r="H71" i="29"/>
  <c r="H71" i="31" s="1"/>
  <c r="H71" i="32" s="1"/>
  <c r="H62" i="30"/>
  <c r="H62" i="29"/>
  <c r="H62" i="31" s="1"/>
  <c r="H62" i="32" s="1"/>
  <c r="G75" i="29"/>
  <c r="G75" i="31" s="1"/>
  <c r="G75" i="32" s="1"/>
  <c r="G65" i="30"/>
  <c r="G65" i="29"/>
  <c r="G65" i="31" s="1"/>
  <c r="G65" i="32" s="1"/>
  <c r="G57" i="30"/>
  <c r="G57" i="29"/>
  <c r="G57" i="31" s="1"/>
  <c r="G57" i="32" s="1"/>
  <c r="G54" i="30"/>
  <c r="G54" i="29"/>
  <c r="G54" i="31" s="1"/>
  <c r="G54" i="32" s="1"/>
  <c r="G51" i="30"/>
  <c r="G51" i="29"/>
  <c r="G51" i="31" s="1"/>
  <c r="G51" i="32" s="1"/>
  <c r="G50" i="30"/>
  <c r="G50" i="29"/>
  <c r="G50" i="31" s="1"/>
  <c r="G50" i="32" s="1"/>
  <c r="G49" i="30"/>
  <c r="G49" i="29"/>
  <c r="G49" i="31" s="1"/>
  <c r="G49" i="32" s="1"/>
  <c r="G47" i="30"/>
  <c r="G47" i="29"/>
  <c r="G47" i="31" s="1"/>
  <c r="G47" i="32" s="1"/>
  <c r="G46" i="30"/>
  <c r="G46" i="29"/>
  <c r="G46" i="31" s="1"/>
  <c r="G46" i="32" s="1"/>
  <c r="G45" i="30"/>
  <c r="G45" i="29"/>
  <c r="G45" i="31" s="1"/>
  <c r="G45" i="32" s="1"/>
  <c r="G44" i="30"/>
  <c r="G44" i="29"/>
  <c r="G44" i="31" s="1"/>
  <c r="G44" i="32" s="1"/>
  <c r="G43" i="30"/>
  <c r="G43" i="29"/>
  <c r="G43" i="31" s="1"/>
  <c r="G43" i="32" s="1"/>
  <c r="G42" i="30"/>
  <c r="G42" i="29"/>
  <c r="G42" i="31" s="1"/>
  <c r="G42" i="32" s="1"/>
  <c r="G41" i="30"/>
  <c r="G41" i="29"/>
  <c r="G41" i="31" s="1"/>
  <c r="G41" i="32" s="1"/>
  <c r="G39" i="30"/>
  <c r="G39" i="29"/>
  <c r="G39" i="31" s="1"/>
  <c r="G39" i="32" s="1"/>
  <c r="G38" i="30"/>
  <c r="G38" i="29"/>
  <c r="G38" i="31" s="1"/>
  <c r="G38" i="32" s="1"/>
  <c r="G37" i="30"/>
  <c r="G36" i="30"/>
  <c r="G36" i="29"/>
  <c r="G36" i="31" s="1"/>
  <c r="G36" i="32" s="1"/>
  <c r="G34" i="30"/>
  <c r="G34" i="29"/>
  <c r="G34" i="31" s="1"/>
  <c r="G34" i="32" s="1"/>
  <c r="G33" i="30"/>
  <c r="G33" i="29"/>
  <c r="G33" i="31" s="1"/>
  <c r="G33" i="32" s="1"/>
  <c r="G30" i="30"/>
  <c r="G30" i="29"/>
  <c r="G30" i="31" s="1"/>
  <c r="G30" i="32" s="1"/>
  <c r="G29" i="30"/>
  <c r="G29" i="29"/>
  <c r="G29" i="31" s="1"/>
  <c r="G29" i="32" s="1"/>
  <c r="G27" i="30"/>
  <c r="G26" i="30"/>
  <c r="G26" i="29"/>
  <c r="G26" i="31" s="1"/>
  <c r="G26" i="32" s="1"/>
  <c r="G25" i="29"/>
  <c r="G25" i="31" s="1"/>
  <c r="G25" i="32" s="1"/>
  <c r="G25" i="30"/>
  <c r="H21" i="30"/>
  <c r="H21" i="29"/>
  <c r="H21" i="31" s="1"/>
  <c r="H21" i="32" s="1"/>
  <c r="J16" i="30"/>
  <c r="J16" i="29"/>
  <c r="J16" i="31" s="1"/>
  <c r="J16" i="32" s="1"/>
  <c r="J14" i="30"/>
  <c r="J14" i="29"/>
  <c r="J14" i="31" s="1"/>
  <c r="J14" i="32" s="1"/>
  <c r="G12" i="30"/>
  <c r="G12" i="29"/>
  <c r="G12" i="31" s="1"/>
  <c r="G12" i="32" s="1"/>
  <c r="J9" i="29"/>
  <c r="J9" i="31" s="1"/>
  <c r="J9" i="32" s="1"/>
  <c r="F6" i="30"/>
  <c r="F6" i="29"/>
  <c r="F6" i="31" s="1"/>
  <c r="F6" i="32" s="1"/>
  <c r="F5" i="30"/>
  <c r="F5" i="29"/>
  <c r="F5" i="31" s="1"/>
  <c r="F5" i="32" s="1"/>
  <c r="C4" i="30"/>
  <c r="C4" i="29"/>
  <c r="C4" i="31" s="1"/>
  <c r="C4" i="32" s="1"/>
  <c r="J56" i="29"/>
  <c r="J56" i="31" s="1"/>
  <c r="J56" i="32" s="1"/>
  <c r="G48" i="30"/>
  <c r="G48" i="29"/>
  <c r="G48" i="31" s="1"/>
  <c r="G48" i="32" s="1"/>
  <c r="H29" i="30"/>
  <c r="H29" i="29"/>
  <c r="H29" i="31" s="1"/>
  <c r="H29" i="32" s="1"/>
  <c r="G4" i="30"/>
  <c r="G4" i="29"/>
  <c r="G4" i="31" s="1"/>
  <c r="G4" i="32" s="1"/>
  <c r="J73" i="30"/>
  <c r="J73" i="29"/>
  <c r="J73" i="31" s="1"/>
  <c r="J73" i="32" s="1"/>
  <c r="J65" i="30"/>
  <c r="J65" i="29"/>
  <c r="J65" i="31" s="1"/>
  <c r="J65" i="32" s="1"/>
  <c r="I76" i="30"/>
  <c r="I76" i="29"/>
  <c r="I76" i="31" s="1"/>
  <c r="I76" i="32" s="1"/>
  <c r="I71" i="30"/>
  <c r="I71" i="29"/>
  <c r="I71" i="31" s="1"/>
  <c r="I71" i="32" s="1"/>
  <c r="I61" i="30"/>
  <c r="I61" i="29"/>
  <c r="I61" i="31" s="1"/>
  <c r="I61" i="32" s="1"/>
  <c r="I28" i="30"/>
  <c r="I28" i="29"/>
  <c r="I28" i="31" s="1"/>
  <c r="I28" i="32" s="1"/>
  <c r="H77" i="30"/>
  <c r="H77" i="29"/>
  <c r="H77" i="31" s="1"/>
  <c r="H77" i="32" s="1"/>
  <c r="H69" i="30"/>
  <c r="H69" i="29"/>
  <c r="H69" i="31" s="1"/>
  <c r="H69" i="32" s="1"/>
  <c r="H67" i="30"/>
  <c r="H67" i="29"/>
  <c r="H67" i="31" s="1"/>
  <c r="H67" i="32" s="1"/>
  <c r="H60" i="29"/>
  <c r="H60" i="31" s="1"/>
  <c r="H60" i="32" s="1"/>
  <c r="H60" i="30"/>
  <c r="G73" i="30"/>
  <c r="G73" i="29"/>
  <c r="G73" i="31" s="1"/>
  <c r="G73" i="32" s="1"/>
  <c r="G70" i="30"/>
  <c r="G70" i="29"/>
  <c r="G70" i="31" s="1"/>
  <c r="G70" i="32" s="1"/>
  <c r="G63" i="30"/>
  <c r="G63" i="29"/>
  <c r="G63" i="31" s="1"/>
  <c r="G63" i="32" s="1"/>
  <c r="G58" i="29"/>
  <c r="G58" i="31" s="1"/>
  <c r="G58" i="32" s="1"/>
  <c r="G53" i="30"/>
  <c r="G53" i="29"/>
  <c r="G53" i="31" s="1"/>
  <c r="G53" i="32" s="1"/>
  <c r="F76" i="30"/>
  <c r="F76" i="29"/>
  <c r="F76" i="31" s="1"/>
  <c r="F76" i="32" s="1"/>
  <c r="F73" i="30"/>
  <c r="F73" i="29"/>
  <c r="F73" i="31" s="1"/>
  <c r="F73" i="32" s="1"/>
  <c r="F70" i="30"/>
  <c r="F70" i="29"/>
  <c r="F70" i="31" s="1"/>
  <c r="F70" i="32" s="1"/>
  <c r="F66" i="30"/>
  <c r="F66" i="29"/>
  <c r="F66" i="31" s="1"/>
  <c r="F66" i="32" s="1"/>
  <c r="F63" i="30"/>
  <c r="F63" i="29"/>
  <c r="F63" i="31" s="1"/>
  <c r="F63" i="32" s="1"/>
  <c r="F60" i="30"/>
  <c r="F60" i="29"/>
  <c r="F60" i="31" s="1"/>
  <c r="F60" i="32" s="1"/>
  <c r="F58" i="30"/>
  <c r="F58" i="29"/>
  <c r="F58" i="31" s="1"/>
  <c r="F58" i="32" s="1"/>
  <c r="F56" i="30"/>
  <c r="F56" i="29"/>
  <c r="F56" i="31" s="1"/>
  <c r="F56" i="32" s="1"/>
  <c r="F55" i="30"/>
  <c r="F55" i="29"/>
  <c r="F55" i="31" s="1"/>
  <c r="F55" i="32" s="1"/>
  <c r="F54" i="30"/>
  <c r="F54" i="29"/>
  <c r="F54" i="31" s="1"/>
  <c r="F54" i="32" s="1"/>
  <c r="F53" i="30"/>
  <c r="F53" i="29"/>
  <c r="F53" i="31" s="1"/>
  <c r="F53" i="32" s="1"/>
  <c r="F52" i="30"/>
  <c r="F52" i="29"/>
  <c r="F52" i="31" s="1"/>
  <c r="F52" i="32" s="1"/>
  <c r="F51" i="30"/>
  <c r="F51" i="29"/>
  <c r="F51" i="31" s="1"/>
  <c r="F51" i="32" s="1"/>
  <c r="F50" i="30"/>
  <c r="F50" i="29"/>
  <c r="F50" i="31" s="1"/>
  <c r="F50" i="32" s="1"/>
  <c r="F49" i="30"/>
  <c r="F49" i="29"/>
  <c r="F49" i="31" s="1"/>
  <c r="F49" i="32" s="1"/>
  <c r="F48" i="30"/>
  <c r="F48" i="29"/>
  <c r="F48" i="31" s="1"/>
  <c r="F48" i="32" s="1"/>
  <c r="F45" i="30"/>
  <c r="F45" i="29"/>
  <c r="F45" i="31" s="1"/>
  <c r="F45" i="32" s="1"/>
  <c r="F44" i="30"/>
  <c r="F44" i="29"/>
  <c r="F44" i="31" s="1"/>
  <c r="F44" i="32" s="1"/>
  <c r="F43" i="30"/>
  <c r="F43" i="29"/>
  <c r="F43" i="31" s="1"/>
  <c r="F43" i="32" s="1"/>
  <c r="F42" i="30"/>
  <c r="F42" i="29"/>
  <c r="F42" i="31" s="1"/>
  <c r="F42" i="32" s="1"/>
  <c r="F40" i="30"/>
  <c r="F40" i="29"/>
  <c r="F40" i="31" s="1"/>
  <c r="F40" i="32" s="1"/>
  <c r="F39" i="30"/>
  <c r="F39" i="29"/>
  <c r="F39" i="31" s="1"/>
  <c r="F39" i="32" s="1"/>
  <c r="F38" i="30"/>
  <c r="F38" i="29"/>
  <c r="F38" i="31" s="1"/>
  <c r="F38" i="32" s="1"/>
  <c r="F37" i="30"/>
  <c r="F37" i="29"/>
  <c r="F37" i="31" s="1"/>
  <c r="F37" i="32" s="1"/>
  <c r="F36" i="30"/>
  <c r="F36" i="29"/>
  <c r="F36" i="31" s="1"/>
  <c r="F36" i="32" s="1"/>
  <c r="F35" i="30"/>
  <c r="F35" i="29"/>
  <c r="F35" i="31" s="1"/>
  <c r="F35" i="32" s="1"/>
  <c r="F34" i="30"/>
  <c r="F34" i="29"/>
  <c r="F34" i="31" s="1"/>
  <c r="F34" i="32" s="1"/>
  <c r="F33" i="30"/>
  <c r="F33" i="29"/>
  <c r="F33" i="31" s="1"/>
  <c r="F33" i="32" s="1"/>
  <c r="F32" i="30"/>
  <c r="F32" i="29"/>
  <c r="F32" i="31" s="1"/>
  <c r="F32" i="32" s="1"/>
  <c r="F31" i="30"/>
  <c r="F31" i="29"/>
  <c r="F31" i="31" s="1"/>
  <c r="F31" i="32" s="1"/>
  <c r="F29" i="30"/>
  <c r="F29" i="29"/>
  <c r="F29" i="31" s="1"/>
  <c r="F29" i="32" s="1"/>
  <c r="F28" i="30"/>
  <c r="F28" i="29"/>
  <c r="F28" i="31" s="1"/>
  <c r="F28" i="32" s="1"/>
  <c r="F26" i="29"/>
  <c r="F26" i="31" s="1"/>
  <c r="F26" i="32" s="1"/>
  <c r="F25" i="30"/>
  <c r="F25" i="29"/>
  <c r="F25" i="31" s="1"/>
  <c r="F25" i="32" s="1"/>
  <c r="J23" i="29"/>
  <c r="J23" i="31" s="1"/>
  <c r="J23" i="32" s="1"/>
  <c r="J23" i="30"/>
  <c r="J18" i="30"/>
  <c r="J18" i="29"/>
  <c r="J18" i="31" s="1"/>
  <c r="J18" i="32" s="1"/>
  <c r="H14" i="30"/>
  <c r="H14" i="29"/>
  <c r="H14" i="31" s="1"/>
  <c r="H14" i="32" s="1"/>
  <c r="J11" i="30"/>
  <c r="J11" i="29"/>
  <c r="J11" i="31" s="1"/>
  <c r="J11" i="32" s="1"/>
  <c r="I9" i="30"/>
  <c r="I9" i="29"/>
  <c r="I9" i="31" s="1"/>
  <c r="I9" i="32" s="1"/>
  <c r="E6" i="30"/>
  <c r="E6" i="29"/>
  <c r="E6" i="31" s="1"/>
  <c r="E6" i="32" s="1"/>
  <c r="E5" i="30"/>
  <c r="E5" i="29"/>
  <c r="E5" i="31" s="1"/>
  <c r="E5" i="32" s="1"/>
  <c r="J55" i="29"/>
  <c r="J55" i="31" s="1"/>
  <c r="J55" i="32" s="1"/>
  <c r="J55" i="30"/>
  <c r="F47" i="30"/>
  <c r="F47" i="29"/>
  <c r="F47" i="31" s="1"/>
  <c r="F47" i="32" s="1"/>
  <c r="G21" i="30"/>
  <c r="G21" i="29"/>
  <c r="G21" i="31" s="1"/>
  <c r="G21" i="32" s="1"/>
  <c r="G13" i="30"/>
  <c r="G13" i="29"/>
  <c r="G13" i="31" s="1"/>
  <c r="G13" i="32" s="1"/>
  <c r="I75" i="30"/>
  <c r="I75" i="29"/>
  <c r="I75" i="31" s="1"/>
  <c r="I75" i="32" s="1"/>
  <c r="I29" i="30"/>
  <c r="I29" i="29"/>
  <c r="I29" i="31" s="1"/>
  <c r="I29" i="32" s="1"/>
  <c r="H76" i="30"/>
  <c r="H76" i="29"/>
  <c r="H76" i="31" s="1"/>
  <c r="H76" i="32" s="1"/>
  <c r="H70" i="30"/>
  <c r="H70" i="29"/>
  <c r="H70" i="31" s="1"/>
  <c r="H70" i="32" s="1"/>
  <c r="H63" i="30"/>
  <c r="H63" i="29"/>
  <c r="H63" i="31" s="1"/>
  <c r="H63" i="32" s="1"/>
  <c r="G74" i="30"/>
  <c r="G74" i="29"/>
  <c r="G74" i="31" s="1"/>
  <c r="G74" i="32" s="1"/>
  <c r="G69" i="30"/>
  <c r="G69" i="29"/>
  <c r="G69" i="31" s="1"/>
  <c r="G69" i="32" s="1"/>
  <c r="G64" i="30"/>
  <c r="G64" i="29"/>
  <c r="G64" i="31" s="1"/>
  <c r="G64" i="32" s="1"/>
  <c r="G55" i="30"/>
  <c r="G55" i="29"/>
  <c r="G55" i="31" s="1"/>
  <c r="G55" i="32" s="1"/>
  <c r="F77" i="30"/>
  <c r="F77" i="29"/>
  <c r="F77" i="31" s="1"/>
  <c r="F77" i="32" s="1"/>
  <c r="F74" i="30"/>
  <c r="F74" i="29"/>
  <c r="F74" i="31" s="1"/>
  <c r="F74" i="32" s="1"/>
  <c r="F71" i="30"/>
  <c r="F71" i="29"/>
  <c r="F71" i="31" s="1"/>
  <c r="F71" i="32" s="1"/>
  <c r="F68" i="29"/>
  <c r="F68" i="31" s="1"/>
  <c r="F68" i="32" s="1"/>
  <c r="F68" i="30"/>
  <c r="F65" i="30"/>
  <c r="F65" i="29"/>
  <c r="F65" i="31" s="1"/>
  <c r="F65" i="32" s="1"/>
  <c r="F62" i="30"/>
  <c r="F62" i="29"/>
  <c r="F62" i="31" s="1"/>
  <c r="F62" i="32" s="1"/>
  <c r="F59" i="30"/>
  <c r="F59" i="29"/>
  <c r="F59" i="31" s="1"/>
  <c r="F59" i="32" s="1"/>
  <c r="E77" i="30"/>
  <c r="E77" i="29"/>
  <c r="E77" i="31" s="1"/>
  <c r="E77" i="32" s="1"/>
  <c r="E75" i="30"/>
  <c r="E75" i="29"/>
  <c r="E75" i="31" s="1"/>
  <c r="E75" i="32" s="1"/>
  <c r="E73" i="30"/>
  <c r="E73" i="29"/>
  <c r="E73" i="31" s="1"/>
  <c r="E73" i="32" s="1"/>
  <c r="E72" i="30"/>
  <c r="E72" i="29"/>
  <c r="E72" i="31" s="1"/>
  <c r="E72" i="32" s="1"/>
  <c r="E70" i="30"/>
  <c r="E70" i="29"/>
  <c r="E70" i="31" s="1"/>
  <c r="E70" i="32" s="1"/>
  <c r="E69" i="30"/>
  <c r="E69" i="29"/>
  <c r="E69" i="31" s="1"/>
  <c r="E69" i="32" s="1"/>
  <c r="E68" i="30"/>
  <c r="E68" i="29"/>
  <c r="E68" i="31" s="1"/>
  <c r="E68" i="32" s="1"/>
  <c r="E67" i="30"/>
  <c r="E67" i="29"/>
  <c r="E67" i="31" s="1"/>
  <c r="E67" i="32" s="1"/>
  <c r="E66" i="30"/>
  <c r="E66" i="29"/>
  <c r="E66" i="31" s="1"/>
  <c r="E66" i="32" s="1"/>
  <c r="E65" i="30"/>
  <c r="E65" i="29"/>
  <c r="E65" i="31" s="1"/>
  <c r="E65" i="32" s="1"/>
  <c r="E64" i="30"/>
  <c r="E64" i="29"/>
  <c r="E64" i="31" s="1"/>
  <c r="E64" i="32" s="1"/>
  <c r="E63" i="30"/>
  <c r="E63" i="29"/>
  <c r="E63" i="31" s="1"/>
  <c r="E63" i="32" s="1"/>
  <c r="E62" i="30"/>
  <c r="E62" i="29"/>
  <c r="E62" i="31" s="1"/>
  <c r="E62" i="32" s="1"/>
  <c r="E61" i="30"/>
  <c r="E61" i="29"/>
  <c r="E61" i="31" s="1"/>
  <c r="E61" i="32" s="1"/>
  <c r="E60" i="30"/>
  <c r="E60" i="29"/>
  <c r="E60" i="31" s="1"/>
  <c r="E60" i="32" s="1"/>
  <c r="E59" i="30"/>
  <c r="E59" i="29"/>
  <c r="E59" i="31" s="1"/>
  <c r="E59" i="32" s="1"/>
  <c r="E58" i="30"/>
  <c r="E58" i="29"/>
  <c r="E58" i="31" s="1"/>
  <c r="E58" i="32" s="1"/>
  <c r="E57" i="30"/>
  <c r="E57" i="29"/>
  <c r="E57" i="31" s="1"/>
  <c r="E57" i="32" s="1"/>
  <c r="E56" i="30"/>
  <c r="E56" i="29"/>
  <c r="E56" i="31" s="1"/>
  <c r="E56" i="32" s="1"/>
  <c r="E55" i="30"/>
  <c r="E55" i="29"/>
  <c r="E55" i="31" s="1"/>
  <c r="E55" i="32" s="1"/>
  <c r="E54" i="30"/>
  <c r="E54" i="29"/>
  <c r="E54" i="31" s="1"/>
  <c r="E54" i="32" s="1"/>
  <c r="E53" i="30"/>
  <c r="E53" i="29"/>
  <c r="E53" i="31" s="1"/>
  <c r="E53" i="32" s="1"/>
  <c r="E52" i="30"/>
  <c r="E52" i="29"/>
  <c r="E52" i="31" s="1"/>
  <c r="E52" i="32" s="1"/>
  <c r="E51" i="30"/>
  <c r="E51" i="29"/>
  <c r="E51" i="31" s="1"/>
  <c r="E51" i="32" s="1"/>
  <c r="E50" i="30"/>
  <c r="E50" i="29"/>
  <c r="E50" i="31" s="1"/>
  <c r="E50" i="32" s="1"/>
  <c r="E49" i="30"/>
  <c r="E49" i="29"/>
  <c r="E49" i="31" s="1"/>
  <c r="E49" i="32" s="1"/>
  <c r="E48" i="30"/>
  <c r="E48" i="29"/>
  <c r="E48" i="31" s="1"/>
  <c r="E48" i="32" s="1"/>
  <c r="E47" i="30"/>
  <c r="E47" i="29"/>
  <c r="E47" i="31" s="1"/>
  <c r="E47" i="32" s="1"/>
  <c r="E46" i="30"/>
  <c r="E46" i="29"/>
  <c r="E46" i="31" s="1"/>
  <c r="E46" i="32" s="1"/>
  <c r="E44" i="30"/>
  <c r="E44" i="29"/>
  <c r="E44" i="31" s="1"/>
  <c r="E44" i="32" s="1"/>
  <c r="E43" i="30"/>
  <c r="E43" i="29"/>
  <c r="E43" i="31" s="1"/>
  <c r="E43" i="32" s="1"/>
  <c r="E42" i="30"/>
  <c r="E42" i="29"/>
  <c r="E42" i="31" s="1"/>
  <c r="E42" i="32" s="1"/>
  <c r="E41" i="30"/>
  <c r="E41" i="29"/>
  <c r="E41" i="31" s="1"/>
  <c r="E41" i="32" s="1"/>
  <c r="E39" i="30"/>
  <c r="E39" i="29"/>
  <c r="E39" i="31" s="1"/>
  <c r="E39" i="32" s="1"/>
  <c r="E38" i="30"/>
  <c r="E38" i="29"/>
  <c r="E38" i="31" s="1"/>
  <c r="E38" i="32" s="1"/>
  <c r="E37" i="30"/>
  <c r="E37" i="29"/>
  <c r="E37" i="31" s="1"/>
  <c r="E37" i="32" s="1"/>
  <c r="E36" i="30"/>
  <c r="E36" i="29"/>
  <c r="E36" i="31" s="1"/>
  <c r="E36" i="32" s="1"/>
  <c r="E35" i="30"/>
  <c r="E35" i="29"/>
  <c r="E35" i="31" s="1"/>
  <c r="E35" i="32" s="1"/>
  <c r="E33" i="30"/>
  <c r="E33" i="29"/>
  <c r="E33" i="31" s="1"/>
  <c r="E33" i="32" s="1"/>
  <c r="E32" i="30"/>
  <c r="E32" i="29"/>
  <c r="E32" i="31" s="1"/>
  <c r="E32" i="32" s="1"/>
  <c r="E31" i="30"/>
  <c r="E31" i="29"/>
  <c r="E31" i="31" s="1"/>
  <c r="E31" i="32" s="1"/>
  <c r="E30" i="30"/>
  <c r="E30" i="29"/>
  <c r="E30" i="31" s="1"/>
  <c r="E30" i="32" s="1"/>
  <c r="E29" i="30"/>
  <c r="E29" i="29"/>
  <c r="E29" i="31" s="1"/>
  <c r="E29" i="32" s="1"/>
  <c r="E28" i="30"/>
  <c r="E28" i="29"/>
  <c r="E28" i="31" s="1"/>
  <c r="E28" i="32" s="1"/>
  <c r="E27" i="30"/>
  <c r="E27" i="29"/>
  <c r="E27" i="31" s="1"/>
  <c r="E27" i="32" s="1"/>
  <c r="E25" i="30"/>
  <c r="E25" i="29"/>
  <c r="E25" i="31" s="1"/>
  <c r="E25" i="32" s="1"/>
  <c r="H23" i="30"/>
  <c r="H23" i="29"/>
  <c r="H23" i="31" s="1"/>
  <c r="H23" i="32" s="1"/>
  <c r="J20" i="29"/>
  <c r="J20" i="31" s="1"/>
  <c r="J20" i="32" s="1"/>
  <c r="J20" i="30"/>
  <c r="I18" i="30"/>
  <c r="I18" i="29"/>
  <c r="I18" i="31" s="1"/>
  <c r="I18" i="32" s="1"/>
  <c r="H16" i="30"/>
  <c r="H16" i="29"/>
  <c r="H16" i="31" s="1"/>
  <c r="H16" i="32" s="1"/>
  <c r="G14" i="30"/>
  <c r="G14" i="29"/>
  <c r="G14" i="31" s="1"/>
  <c r="G14" i="32" s="1"/>
  <c r="H11" i="30"/>
  <c r="H11" i="29"/>
  <c r="H11" i="31" s="1"/>
  <c r="H11" i="32" s="1"/>
  <c r="H9" i="29"/>
  <c r="H9" i="31" s="1"/>
  <c r="H9" i="32" s="1"/>
  <c r="H9" i="30"/>
  <c r="H7" i="29"/>
  <c r="H7" i="31" s="1"/>
  <c r="H7" i="32" s="1"/>
  <c r="H7" i="30"/>
  <c r="D6" i="29"/>
  <c r="D6" i="31" s="1"/>
  <c r="D6" i="32" s="1"/>
  <c r="D6" i="30"/>
  <c r="C5" i="30"/>
  <c r="C5" i="29"/>
  <c r="C5" i="31" s="1"/>
  <c r="C5" i="32" s="1"/>
  <c r="F46" i="30"/>
  <c r="F46" i="29"/>
  <c r="F46" i="31" s="1"/>
  <c r="F46" i="32" s="1"/>
  <c r="H36" i="30"/>
  <c r="H36" i="29"/>
  <c r="H36" i="31" s="1"/>
  <c r="H36" i="32" s="1"/>
  <c r="F27" i="30"/>
  <c r="F27" i="29"/>
  <c r="F27" i="31" s="1"/>
  <c r="F27" i="32" s="1"/>
  <c r="J66" i="29"/>
  <c r="J66" i="31" s="1"/>
  <c r="J66" i="32" s="1"/>
  <c r="J66" i="30"/>
  <c r="I65" i="30"/>
  <c r="I65" i="29"/>
  <c r="I65" i="31" s="1"/>
  <c r="I65" i="32" s="1"/>
  <c r="I58" i="28"/>
  <c r="I27" i="30"/>
  <c r="I27" i="29"/>
  <c r="I27" i="31" s="1"/>
  <c r="I27" i="32" s="1"/>
  <c r="H72" i="30"/>
  <c r="H72" i="29"/>
  <c r="H72" i="31" s="1"/>
  <c r="H72" i="32" s="1"/>
  <c r="H65" i="30"/>
  <c r="H65" i="29"/>
  <c r="H65" i="31" s="1"/>
  <c r="H65" i="32" s="1"/>
  <c r="H59" i="30"/>
  <c r="H59" i="29"/>
  <c r="H59" i="31" s="1"/>
  <c r="H59" i="32" s="1"/>
  <c r="G76" i="29"/>
  <c r="G76" i="31" s="1"/>
  <c r="G76" i="32" s="1"/>
  <c r="G71" i="30"/>
  <c r="G71" i="29"/>
  <c r="G71" i="31" s="1"/>
  <c r="G71" i="32" s="1"/>
  <c r="G68" i="30"/>
  <c r="G68" i="29"/>
  <c r="G68" i="31" s="1"/>
  <c r="G68" i="32" s="1"/>
  <c r="G66" i="30"/>
  <c r="G66" i="29"/>
  <c r="G66" i="31" s="1"/>
  <c r="G66" i="32" s="1"/>
  <c r="G62" i="29"/>
  <c r="G62" i="31" s="1"/>
  <c r="G62" i="32" s="1"/>
  <c r="G59" i="30"/>
  <c r="G52" i="30"/>
  <c r="G52" i="29"/>
  <c r="G52" i="31" s="1"/>
  <c r="G52" i="32" s="1"/>
  <c r="F75" i="30"/>
  <c r="F75" i="29"/>
  <c r="F75" i="31" s="1"/>
  <c r="F75" i="32" s="1"/>
  <c r="F72" i="30"/>
  <c r="F72" i="29"/>
  <c r="F72" i="31" s="1"/>
  <c r="F72" i="32" s="1"/>
  <c r="F69" i="30"/>
  <c r="F69" i="29"/>
  <c r="F69" i="31" s="1"/>
  <c r="F69" i="32" s="1"/>
  <c r="F67" i="30"/>
  <c r="F67" i="29"/>
  <c r="F67" i="31" s="1"/>
  <c r="F67" i="32" s="1"/>
  <c r="F64" i="30"/>
  <c r="F64" i="29"/>
  <c r="F64" i="31" s="1"/>
  <c r="F64" i="32" s="1"/>
  <c r="F61" i="30"/>
  <c r="F61" i="29"/>
  <c r="F61" i="31" s="1"/>
  <c r="F61" i="32" s="1"/>
  <c r="F57" i="29"/>
  <c r="F57" i="31" s="1"/>
  <c r="F57" i="32" s="1"/>
  <c r="F57" i="30"/>
  <c r="E76" i="30"/>
  <c r="E76" i="29"/>
  <c r="E76" i="31" s="1"/>
  <c r="E76" i="32" s="1"/>
  <c r="E74" i="30"/>
  <c r="E74" i="29"/>
  <c r="E74" i="31" s="1"/>
  <c r="E74" i="32" s="1"/>
  <c r="D77" i="29"/>
  <c r="D77" i="31" s="1"/>
  <c r="D77" i="32" s="1"/>
  <c r="D77" i="30"/>
  <c r="D76" i="29"/>
  <c r="D76" i="31" s="1"/>
  <c r="D76" i="32" s="1"/>
  <c r="D76" i="30"/>
  <c r="D75" i="30"/>
  <c r="D75" i="29"/>
  <c r="D75" i="31" s="1"/>
  <c r="D75" i="32" s="1"/>
  <c r="D74" i="29"/>
  <c r="D74" i="31" s="1"/>
  <c r="D74" i="32" s="1"/>
  <c r="D74" i="30"/>
  <c r="D73" i="29"/>
  <c r="D73" i="31" s="1"/>
  <c r="D73" i="32" s="1"/>
  <c r="D73" i="30"/>
  <c r="D72" i="29"/>
  <c r="D72" i="31" s="1"/>
  <c r="D72" i="32" s="1"/>
  <c r="D72" i="30"/>
  <c r="D71" i="29"/>
  <c r="D71" i="31" s="1"/>
  <c r="D71" i="32" s="1"/>
  <c r="D71" i="30"/>
  <c r="D70" i="30"/>
  <c r="D70" i="29"/>
  <c r="D70" i="31" s="1"/>
  <c r="D70" i="32" s="1"/>
  <c r="D69" i="29"/>
  <c r="D69" i="31" s="1"/>
  <c r="D69" i="32" s="1"/>
  <c r="D69" i="30"/>
  <c r="D68" i="29"/>
  <c r="D68" i="31" s="1"/>
  <c r="D68" i="32" s="1"/>
  <c r="D68" i="30"/>
  <c r="D67" i="30"/>
  <c r="D67" i="29"/>
  <c r="D67" i="31" s="1"/>
  <c r="D67" i="32" s="1"/>
  <c r="D66" i="29"/>
  <c r="D66" i="31" s="1"/>
  <c r="D66" i="32" s="1"/>
  <c r="D66" i="30"/>
  <c r="D65" i="29"/>
  <c r="D65" i="31" s="1"/>
  <c r="D65" i="32" s="1"/>
  <c r="D65" i="30"/>
  <c r="D64" i="29"/>
  <c r="D64" i="31" s="1"/>
  <c r="D64" i="32" s="1"/>
  <c r="D64" i="30"/>
  <c r="D63" i="29"/>
  <c r="D63" i="31" s="1"/>
  <c r="D63" i="32" s="1"/>
  <c r="D63" i="30"/>
  <c r="D62" i="29"/>
  <c r="D62" i="31" s="1"/>
  <c r="D62" i="32" s="1"/>
  <c r="D62" i="30"/>
  <c r="D61" i="29"/>
  <c r="D61" i="31" s="1"/>
  <c r="D61" i="32" s="1"/>
  <c r="D61" i="30"/>
  <c r="D60" i="29"/>
  <c r="D60" i="31" s="1"/>
  <c r="D60" i="32" s="1"/>
  <c r="D60" i="30"/>
  <c r="D59" i="30"/>
  <c r="D59" i="29"/>
  <c r="D59" i="31" s="1"/>
  <c r="D59" i="32" s="1"/>
  <c r="D58" i="29"/>
  <c r="D58" i="31" s="1"/>
  <c r="D58" i="32" s="1"/>
  <c r="D58" i="30"/>
  <c r="D57" i="29"/>
  <c r="D57" i="31" s="1"/>
  <c r="D57" i="32" s="1"/>
  <c r="D57" i="30"/>
  <c r="D56" i="30"/>
  <c r="D56" i="29"/>
  <c r="D56" i="31" s="1"/>
  <c r="D56" i="32" s="1"/>
  <c r="D55" i="30"/>
  <c r="D55" i="29"/>
  <c r="D55" i="31" s="1"/>
  <c r="D55" i="32" s="1"/>
  <c r="D54" i="29"/>
  <c r="D54" i="31" s="1"/>
  <c r="D54" i="32" s="1"/>
  <c r="D54" i="30"/>
  <c r="D53" i="30"/>
  <c r="D53" i="29"/>
  <c r="D53" i="31" s="1"/>
  <c r="D53" i="32" s="1"/>
  <c r="D52" i="30"/>
  <c r="D52" i="29"/>
  <c r="D52" i="31" s="1"/>
  <c r="D52" i="32" s="1"/>
  <c r="D51" i="30"/>
  <c r="D51" i="29"/>
  <c r="D51" i="31" s="1"/>
  <c r="D51" i="32" s="1"/>
  <c r="D50" i="30"/>
  <c r="D50" i="29"/>
  <c r="D50" i="31" s="1"/>
  <c r="D50" i="32" s="1"/>
  <c r="D49" i="29"/>
  <c r="D49" i="31" s="1"/>
  <c r="D49" i="32" s="1"/>
  <c r="D49" i="30"/>
  <c r="D48" i="30"/>
  <c r="D48" i="29"/>
  <c r="D48" i="31" s="1"/>
  <c r="D48" i="32" s="1"/>
  <c r="D47" i="29"/>
  <c r="D47" i="31" s="1"/>
  <c r="D47" i="32" s="1"/>
  <c r="D47" i="30"/>
  <c r="D46" i="30"/>
  <c r="D46" i="29"/>
  <c r="D46" i="31" s="1"/>
  <c r="D46" i="32" s="1"/>
  <c r="D45" i="30"/>
  <c r="D45" i="29"/>
  <c r="D45" i="31" s="1"/>
  <c r="D45" i="32" s="1"/>
  <c r="H20" i="30"/>
  <c r="H20" i="29"/>
  <c r="H20" i="31" s="1"/>
  <c r="H20" i="32" s="1"/>
  <c r="H18" i="30"/>
  <c r="H18" i="29"/>
  <c r="H18" i="31" s="1"/>
  <c r="H18" i="32" s="1"/>
  <c r="J13" i="30"/>
  <c r="G7" i="30"/>
  <c r="G7" i="29"/>
  <c r="G7" i="31" s="1"/>
  <c r="G7" i="32" s="1"/>
  <c r="C6" i="30"/>
  <c r="C6" i="29"/>
  <c r="C6" i="31" s="1"/>
  <c r="C6" i="32" s="1"/>
  <c r="E45" i="30"/>
  <c r="E45" i="29"/>
  <c r="E45" i="31" s="1"/>
  <c r="E45" i="32" s="1"/>
  <c r="G35" i="30"/>
  <c r="E26" i="30"/>
  <c r="E26" i="29"/>
  <c r="E26" i="31" s="1"/>
  <c r="E26" i="32" s="1"/>
  <c r="G19" i="30"/>
  <c r="G19" i="29"/>
  <c r="G19" i="31" s="1"/>
  <c r="G19" i="32" s="1"/>
  <c r="G3" i="29"/>
  <c r="G3" i="31" s="1"/>
  <c r="G3" i="32" s="1"/>
  <c r="G3" i="30"/>
  <c r="E3" i="29"/>
  <c r="E3" i="31" s="1"/>
  <c r="E3" i="32" s="1"/>
  <c r="E3" i="30"/>
  <c r="F3" i="29"/>
  <c r="F3" i="31" s="1"/>
  <c r="F3" i="32" s="1"/>
  <c r="F3" i="30"/>
  <c r="I12" i="28"/>
  <c r="C37" i="10"/>
  <c r="C38" i="10"/>
  <c r="C39" i="10"/>
  <c r="C40" i="10"/>
  <c r="C41" i="10"/>
  <c r="C42" i="10"/>
  <c r="C43" i="10"/>
  <c r="C44" i="10"/>
  <c r="C45" i="10"/>
  <c r="C27" i="10"/>
  <c r="C28" i="10"/>
  <c r="C29" i="10"/>
  <c r="C30" i="10"/>
  <c r="C31" i="10"/>
  <c r="C32" i="10"/>
  <c r="C33" i="10"/>
  <c r="C34" i="10"/>
  <c r="C35" i="10"/>
  <c r="C36" i="10"/>
  <c r="G31" i="29" l="1"/>
  <c r="G31" i="31" s="1"/>
  <c r="G31" i="32" s="1"/>
  <c r="I59" i="29"/>
  <c r="I59" i="31" s="1"/>
  <c r="I59" i="32" s="1"/>
  <c r="J12" i="29"/>
  <c r="J12" i="31" s="1"/>
  <c r="J12" i="32" s="1"/>
  <c r="J29" i="29"/>
  <c r="J29" i="31" s="1"/>
  <c r="J29" i="32" s="1"/>
  <c r="J53" i="29"/>
  <c r="J53" i="31" s="1"/>
  <c r="J53" i="32" s="1"/>
  <c r="I56" i="29"/>
  <c r="I56" i="31" s="1"/>
  <c r="I56" i="32" s="1"/>
  <c r="G77" i="29"/>
  <c r="G77" i="31" s="1"/>
  <c r="G77" i="32" s="1"/>
  <c r="I24" i="29"/>
  <c r="I24" i="31" s="1"/>
  <c r="I24" i="32" s="1"/>
  <c r="G67" i="29"/>
  <c r="G67" i="31" s="1"/>
  <c r="G67" i="32" s="1"/>
  <c r="J24" i="30"/>
  <c r="J74" i="30"/>
  <c r="J7" i="29"/>
  <c r="J7" i="31" s="1"/>
  <c r="J7" i="32" s="1"/>
  <c r="J21" i="30"/>
  <c r="J34" i="29"/>
  <c r="J34" i="31" s="1"/>
  <c r="J34" i="32" s="1"/>
  <c r="J8" i="29"/>
  <c r="J8" i="31" s="1"/>
  <c r="J8" i="32" s="1"/>
  <c r="J75" i="30"/>
  <c r="J61" i="30"/>
  <c r="J3" i="29"/>
  <c r="J3" i="31" s="1"/>
  <c r="J3" i="32" s="1"/>
  <c r="I64" i="29"/>
  <c r="I64" i="31" s="1"/>
  <c r="I64" i="32" s="1"/>
  <c r="I70" i="29"/>
  <c r="I70" i="31" s="1"/>
  <c r="I70" i="32" s="1"/>
  <c r="J30" i="29"/>
  <c r="J30" i="31" s="1"/>
  <c r="J30" i="32" s="1"/>
  <c r="J46" i="29"/>
  <c r="J46" i="31" s="1"/>
  <c r="J46" i="32" s="1"/>
  <c r="D3" i="28"/>
  <c r="H3" i="29"/>
  <c r="H3" i="31" s="1"/>
  <c r="H3" i="32" s="1"/>
  <c r="J17" i="30"/>
  <c r="I22" i="30"/>
  <c r="J35" i="29"/>
  <c r="J35" i="31" s="1"/>
  <c r="J35" i="32" s="1"/>
  <c r="J76" i="29"/>
  <c r="J76" i="31" s="1"/>
  <c r="J76" i="32" s="1"/>
  <c r="I21" i="29"/>
  <c r="I21" i="31" s="1"/>
  <c r="I21" i="32" s="1"/>
  <c r="G16" i="30"/>
  <c r="I77" i="30"/>
  <c r="I7" i="30"/>
  <c r="I16" i="30"/>
  <c r="G6" i="30"/>
  <c r="J28" i="30"/>
  <c r="J54" i="30"/>
  <c r="J5" i="30"/>
  <c r="G60" i="29"/>
  <c r="G60" i="31" s="1"/>
  <c r="G60" i="32" s="1"/>
  <c r="G24" i="29"/>
  <c r="G24" i="31" s="1"/>
  <c r="G24" i="32" s="1"/>
  <c r="G40" i="29"/>
  <c r="G40" i="31" s="1"/>
  <c r="G40" i="32" s="1"/>
  <c r="J26" i="29"/>
  <c r="J26" i="31" s="1"/>
  <c r="J26" i="32" s="1"/>
  <c r="J52" i="29"/>
  <c r="J52" i="31" s="1"/>
  <c r="J62" i="29"/>
  <c r="J62" i="31" s="1"/>
  <c r="J62" i="32" s="1"/>
  <c r="J10" i="29"/>
  <c r="J10" i="31" s="1"/>
  <c r="J10" i="32" s="1"/>
  <c r="J72" i="29"/>
  <c r="J72" i="31" s="1"/>
  <c r="J72" i="32" s="1"/>
  <c r="J4" i="29"/>
  <c r="J4" i="31" s="1"/>
  <c r="J4" i="32" s="1"/>
  <c r="I68" i="29"/>
  <c r="I68" i="31" s="1"/>
  <c r="I68" i="32" s="1"/>
  <c r="G28" i="29"/>
  <c r="G28" i="31" s="1"/>
  <c r="G28" i="32" s="1"/>
  <c r="G61" i="29"/>
  <c r="G61" i="31" s="1"/>
  <c r="G61" i="32" s="1"/>
  <c r="I67" i="29"/>
  <c r="I67" i="31" s="1"/>
  <c r="I67" i="32" s="1"/>
  <c r="J45" i="29"/>
  <c r="J45" i="31" s="1"/>
  <c r="J45" i="32" s="1"/>
  <c r="J22" i="29"/>
  <c r="J22" i="31" s="1"/>
  <c r="J22" i="32" s="1"/>
  <c r="G32" i="30"/>
  <c r="J43" i="29"/>
  <c r="J43" i="31" s="1"/>
  <c r="J43" i="32" s="1"/>
  <c r="J38" i="30"/>
  <c r="F30" i="29"/>
  <c r="F30" i="31" s="1"/>
  <c r="F30" i="32" s="1"/>
  <c r="J63" i="29"/>
  <c r="J63" i="31" s="1"/>
  <c r="J63" i="32" s="1"/>
  <c r="J70" i="29"/>
  <c r="J70" i="31" s="1"/>
  <c r="J70" i="32" s="1"/>
  <c r="J58" i="29"/>
  <c r="J58" i="31" s="1"/>
  <c r="J58" i="32" s="1"/>
  <c r="G56" i="30"/>
  <c r="I11" i="30"/>
  <c r="J33" i="30"/>
  <c r="J64" i="29"/>
  <c r="J64" i="31" s="1"/>
  <c r="J64" i="32" s="1"/>
  <c r="J40" i="29"/>
  <c r="J40" i="31" s="1"/>
  <c r="J40" i="32" s="1"/>
  <c r="G72" i="29"/>
  <c r="G72" i="31" s="1"/>
  <c r="G72" i="32" s="1"/>
  <c r="J36" i="29"/>
  <c r="J36" i="31" s="1"/>
  <c r="J36" i="32" s="1"/>
  <c r="J67" i="29"/>
  <c r="J67" i="31" s="1"/>
  <c r="J67" i="32" s="1"/>
  <c r="J77" i="29"/>
  <c r="J77" i="31" s="1"/>
  <c r="J77" i="32" s="1"/>
  <c r="J68" i="30"/>
  <c r="J59" i="30"/>
  <c r="D4" i="29"/>
  <c r="I4" i="31"/>
  <c r="C3" i="30"/>
  <c r="D25" i="29"/>
  <c r="D25" i="31" s="1"/>
  <c r="D25" i="32" s="1"/>
  <c r="I12" i="30"/>
  <c r="I12" i="29"/>
  <c r="I58" i="30"/>
  <c r="I58" i="29"/>
  <c r="I36" i="28"/>
  <c r="D42" i="28"/>
  <c r="D42" i="30" s="1"/>
  <c r="I37" i="28"/>
  <c r="D43" i="28"/>
  <c r="D43" i="30" s="1"/>
  <c r="D39" i="28"/>
  <c r="D39" i="30" s="1"/>
  <c r="D37" i="28"/>
  <c r="D37" i="30" s="1"/>
  <c r="I50" i="28"/>
  <c r="I51" i="30"/>
  <c r="I51" i="29"/>
  <c r="I63" i="30"/>
  <c r="I63" i="29"/>
  <c r="I35" i="30"/>
  <c r="I35" i="29"/>
  <c r="J49" i="35"/>
  <c r="J49" i="39" s="1"/>
  <c r="J57" i="35"/>
  <c r="J57" i="39" s="1"/>
  <c r="J4" i="35"/>
  <c r="J4" i="39" s="1"/>
  <c r="J5" i="35"/>
  <c r="J5" i="39" s="1"/>
  <c r="J6" i="35"/>
  <c r="J6" i="39" s="1"/>
  <c r="J7" i="35"/>
  <c r="J7" i="39" s="1"/>
  <c r="J8" i="35"/>
  <c r="J8" i="39" s="1"/>
  <c r="J9" i="35"/>
  <c r="J9" i="39" s="1"/>
  <c r="J10" i="35"/>
  <c r="J10" i="39" s="1"/>
  <c r="J11" i="35"/>
  <c r="J11" i="39" s="1"/>
  <c r="J12" i="35"/>
  <c r="J12" i="39" s="1"/>
  <c r="J13" i="35"/>
  <c r="J13" i="39" s="1"/>
  <c r="J14" i="35"/>
  <c r="J14" i="39" s="1"/>
  <c r="J15" i="35"/>
  <c r="J15" i="39" s="1"/>
  <c r="J16" i="35"/>
  <c r="J16" i="39" s="1"/>
  <c r="J17" i="35"/>
  <c r="J17" i="39" s="1"/>
  <c r="J18" i="35"/>
  <c r="J18" i="39" s="1"/>
  <c r="J19" i="35"/>
  <c r="J19" i="39" s="1"/>
  <c r="J20" i="35"/>
  <c r="J20" i="39" s="1"/>
  <c r="J21" i="35"/>
  <c r="J21" i="39" s="1"/>
  <c r="J22" i="35"/>
  <c r="J22" i="39" s="1"/>
  <c r="J23" i="35"/>
  <c r="J23" i="39" s="1"/>
  <c r="J24" i="35"/>
  <c r="J24" i="39" s="1"/>
  <c r="J25" i="35"/>
  <c r="J25" i="39" s="1"/>
  <c r="J26" i="35"/>
  <c r="J26" i="39" s="1"/>
  <c r="J27" i="35"/>
  <c r="J27" i="39" s="1"/>
  <c r="J28" i="35"/>
  <c r="J28" i="39" s="1"/>
  <c r="J29" i="35"/>
  <c r="J29" i="39" s="1"/>
  <c r="J30" i="35"/>
  <c r="J30" i="39" s="1"/>
  <c r="J31" i="35"/>
  <c r="J31" i="39" s="1"/>
  <c r="J3" i="35"/>
  <c r="J3" i="39" s="1"/>
  <c r="C21" i="39"/>
  <c r="C8" i="39"/>
  <c r="E4" i="39"/>
  <c r="D5" i="39"/>
  <c r="C7" i="39"/>
  <c r="D7" i="39"/>
  <c r="E7" i="39"/>
  <c r="F7" i="39"/>
  <c r="D8" i="39"/>
  <c r="E8" i="39"/>
  <c r="F8" i="39"/>
  <c r="I8" i="39"/>
  <c r="C9" i="39"/>
  <c r="D9" i="39"/>
  <c r="E9" i="39"/>
  <c r="F9" i="39"/>
  <c r="C10" i="39"/>
  <c r="D10" i="39"/>
  <c r="E10" i="39"/>
  <c r="F10" i="39"/>
  <c r="I10" i="39"/>
  <c r="C11" i="39"/>
  <c r="D11" i="39"/>
  <c r="E11" i="39"/>
  <c r="F11" i="39"/>
  <c r="C12" i="39"/>
  <c r="D12" i="39"/>
  <c r="E12" i="39"/>
  <c r="F12" i="39"/>
  <c r="C13" i="39"/>
  <c r="D13" i="39"/>
  <c r="E13" i="39"/>
  <c r="F13" i="39"/>
  <c r="C14" i="39"/>
  <c r="D14" i="39"/>
  <c r="E14" i="39"/>
  <c r="F14" i="39"/>
  <c r="C15" i="39"/>
  <c r="D15" i="39"/>
  <c r="E15" i="39"/>
  <c r="F15" i="39"/>
  <c r="C16" i="39"/>
  <c r="D16" i="39"/>
  <c r="E16" i="39"/>
  <c r="F16" i="39"/>
  <c r="C17" i="39"/>
  <c r="D17" i="39"/>
  <c r="E17" i="39"/>
  <c r="F17" i="39"/>
  <c r="C18" i="39"/>
  <c r="D18" i="39"/>
  <c r="E18" i="39"/>
  <c r="F18" i="39"/>
  <c r="C19" i="39"/>
  <c r="D19" i="39"/>
  <c r="E19" i="39"/>
  <c r="F19" i="39"/>
  <c r="C20" i="39"/>
  <c r="D20" i="39"/>
  <c r="E20" i="39"/>
  <c r="F20" i="39"/>
  <c r="D21" i="39"/>
  <c r="E21" i="39"/>
  <c r="F21" i="39"/>
  <c r="D22" i="39"/>
  <c r="E22" i="39"/>
  <c r="F22" i="39"/>
  <c r="C23" i="39"/>
  <c r="D23" i="39"/>
  <c r="E23" i="39"/>
  <c r="F23" i="39"/>
  <c r="C24" i="39"/>
  <c r="D24" i="39"/>
  <c r="E24" i="39"/>
  <c r="F24" i="39"/>
  <c r="D26" i="39"/>
  <c r="I47" i="39"/>
  <c r="I55" i="39"/>
  <c r="I57" i="39"/>
  <c r="D3" i="39"/>
  <c r="E3" i="39"/>
  <c r="I3" i="39"/>
  <c r="F78" i="39"/>
  <c r="E78" i="39"/>
  <c r="D78" i="39"/>
  <c r="C78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8" i="39"/>
  <c r="B7" i="39"/>
  <c r="B6" i="39"/>
  <c r="B5" i="39"/>
  <c r="B4" i="39"/>
  <c r="B3" i="39"/>
  <c r="D4" i="35"/>
  <c r="D4" i="39" s="1"/>
  <c r="I6" i="35"/>
  <c r="I6" i="39" s="1"/>
  <c r="I34" i="35"/>
  <c r="I34" i="39" s="1"/>
  <c r="I38" i="35"/>
  <c r="I38" i="39" s="1"/>
  <c r="D39" i="35"/>
  <c r="D39" i="39" s="1"/>
  <c r="I41" i="35"/>
  <c r="I41" i="39" s="1"/>
  <c r="I42" i="35"/>
  <c r="I42" i="39" s="1"/>
  <c r="I43" i="35"/>
  <c r="I43" i="39" s="1"/>
  <c r="I44" i="35"/>
  <c r="I44" i="39" s="1"/>
  <c r="I45" i="35"/>
  <c r="I45" i="39" s="1"/>
  <c r="I48" i="35"/>
  <c r="I48" i="39" s="1"/>
  <c r="I49" i="35"/>
  <c r="I49" i="39" s="1"/>
  <c r="I52" i="35"/>
  <c r="I52" i="39" s="1"/>
  <c r="I58" i="35"/>
  <c r="I58" i="39" s="1"/>
  <c r="F78" i="35"/>
  <c r="E78" i="35"/>
  <c r="D78" i="35"/>
  <c r="C78" i="35"/>
  <c r="B78" i="35"/>
  <c r="B77" i="35"/>
  <c r="B76" i="35"/>
  <c r="B75" i="35"/>
  <c r="B74" i="35"/>
  <c r="B73" i="35"/>
  <c r="B72" i="35"/>
  <c r="B71" i="35"/>
  <c r="B70" i="35"/>
  <c r="B69" i="35"/>
  <c r="B68" i="35"/>
  <c r="B67" i="35"/>
  <c r="B66" i="35"/>
  <c r="B65" i="35"/>
  <c r="B64" i="35"/>
  <c r="B63" i="35"/>
  <c r="B62" i="35"/>
  <c r="B61" i="35"/>
  <c r="B60" i="35"/>
  <c r="B59" i="35"/>
  <c r="B58" i="35"/>
  <c r="B57" i="35"/>
  <c r="B56" i="35"/>
  <c r="B55" i="35"/>
  <c r="B54" i="35"/>
  <c r="B53" i="35"/>
  <c r="B52" i="35"/>
  <c r="B51" i="35"/>
  <c r="B50" i="35"/>
  <c r="B49" i="35"/>
  <c r="B48" i="35"/>
  <c r="B47" i="35"/>
  <c r="B46" i="35"/>
  <c r="B45" i="35"/>
  <c r="B44" i="35"/>
  <c r="B43" i="35"/>
  <c r="B42" i="35"/>
  <c r="B41" i="35"/>
  <c r="B40" i="35"/>
  <c r="B39" i="35"/>
  <c r="B38" i="35"/>
  <c r="B37" i="35"/>
  <c r="B25" i="35"/>
  <c r="B24" i="35"/>
  <c r="B23" i="35"/>
  <c r="B22" i="35"/>
  <c r="B21" i="35"/>
  <c r="B20" i="35"/>
  <c r="B19" i="35"/>
  <c r="B18" i="35"/>
  <c r="B17" i="35"/>
  <c r="B16" i="35"/>
  <c r="B15" i="35"/>
  <c r="B14" i="35"/>
  <c r="B13" i="35"/>
  <c r="B8" i="35"/>
  <c r="B7" i="35"/>
  <c r="B6" i="35"/>
  <c r="B5" i="35"/>
  <c r="B4" i="35"/>
  <c r="B3" i="35"/>
  <c r="B78" i="34"/>
  <c r="B77" i="34"/>
  <c r="B76" i="34"/>
  <c r="B75" i="34"/>
  <c r="B74" i="34"/>
  <c r="B73" i="34"/>
  <c r="B72" i="34"/>
  <c r="B71" i="34"/>
  <c r="B70" i="34"/>
  <c r="B69" i="34"/>
  <c r="B68" i="34"/>
  <c r="B67" i="34"/>
  <c r="B66" i="34"/>
  <c r="B65" i="34"/>
  <c r="B64" i="34"/>
  <c r="B63" i="34"/>
  <c r="B62" i="34"/>
  <c r="B61" i="34"/>
  <c r="B60" i="34"/>
  <c r="B59" i="34"/>
  <c r="B58" i="34"/>
  <c r="I57" i="34"/>
  <c r="B57" i="34"/>
  <c r="B56" i="34"/>
  <c r="B55" i="34"/>
  <c r="B54" i="34"/>
  <c r="B53" i="34"/>
  <c r="B52" i="34"/>
  <c r="B51" i="34"/>
  <c r="B50" i="34"/>
  <c r="B49" i="34"/>
  <c r="B48" i="34"/>
  <c r="I47" i="34"/>
  <c r="B47" i="34"/>
  <c r="B46" i="34"/>
  <c r="B45" i="34"/>
  <c r="B44" i="34"/>
  <c r="B43" i="34"/>
  <c r="B42" i="34"/>
  <c r="B41" i="34"/>
  <c r="B40" i="34"/>
  <c r="B39" i="34"/>
  <c r="B38" i="34"/>
  <c r="B37" i="34"/>
  <c r="D27" i="34"/>
  <c r="D26" i="34"/>
  <c r="B25" i="34"/>
  <c r="B24" i="34"/>
  <c r="B23" i="34"/>
  <c r="B22" i="34"/>
  <c r="B21" i="34"/>
  <c r="B20" i="34"/>
  <c r="B19" i="34"/>
  <c r="B18" i="34"/>
  <c r="B17" i="34"/>
  <c r="B16" i="34"/>
  <c r="B15" i="34"/>
  <c r="B14" i="34"/>
  <c r="B13" i="34"/>
  <c r="B12" i="34"/>
  <c r="B11" i="34"/>
  <c r="B10" i="34"/>
  <c r="B8" i="34"/>
  <c r="B7" i="34"/>
  <c r="B6" i="34"/>
  <c r="D5" i="34"/>
  <c r="B5" i="34"/>
  <c r="B4" i="34"/>
  <c r="B3" i="34"/>
  <c r="D5" i="33"/>
  <c r="D26" i="33"/>
  <c r="D27" i="33"/>
  <c r="I47" i="33"/>
  <c r="B78" i="33"/>
  <c r="B77" i="33"/>
  <c r="B76" i="33"/>
  <c r="B75" i="33"/>
  <c r="B74" i="33"/>
  <c r="B73" i="33"/>
  <c r="B72" i="33"/>
  <c r="B71" i="33"/>
  <c r="B70" i="33"/>
  <c r="B69" i="33"/>
  <c r="B68" i="33"/>
  <c r="B67" i="33"/>
  <c r="B66" i="33"/>
  <c r="B65" i="33"/>
  <c r="B64" i="33"/>
  <c r="B63" i="33"/>
  <c r="B62" i="33"/>
  <c r="B61" i="33"/>
  <c r="B60" i="33"/>
  <c r="B59" i="33"/>
  <c r="B58" i="33"/>
  <c r="B57" i="33"/>
  <c r="B56" i="33"/>
  <c r="B55" i="33"/>
  <c r="B54" i="33"/>
  <c r="B53" i="33"/>
  <c r="B52" i="33"/>
  <c r="B51" i="33"/>
  <c r="B50" i="33"/>
  <c r="B49" i="33"/>
  <c r="B48" i="33"/>
  <c r="B47" i="33"/>
  <c r="B46" i="33"/>
  <c r="B45" i="33"/>
  <c r="B44" i="33"/>
  <c r="B43" i="33"/>
  <c r="B42" i="33"/>
  <c r="B41" i="33"/>
  <c r="B40" i="33"/>
  <c r="B39" i="33"/>
  <c r="B38" i="33"/>
  <c r="B37" i="33"/>
  <c r="B25" i="33"/>
  <c r="B24" i="33"/>
  <c r="B23" i="33"/>
  <c r="B22" i="33"/>
  <c r="B21" i="33"/>
  <c r="B20" i="33"/>
  <c r="B19" i="33"/>
  <c r="B18" i="33"/>
  <c r="B17" i="33"/>
  <c r="B16" i="33"/>
  <c r="B15" i="33"/>
  <c r="B14" i="33"/>
  <c r="B13" i="33"/>
  <c r="B12" i="33"/>
  <c r="B11" i="33"/>
  <c r="B10" i="33"/>
  <c r="B8" i="33"/>
  <c r="B7" i="33"/>
  <c r="B6" i="33"/>
  <c r="B5" i="33"/>
  <c r="B4" i="33"/>
  <c r="B3" i="33"/>
  <c r="D28" i="33"/>
  <c r="D29" i="34"/>
  <c r="D30" i="34"/>
  <c r="D31" i="33"/>
  <c r="D32" i="33"/>
  <c r="D33" i="34"/>
  <c r="D34" i="34"/>
  <c r="I34" i="34"/>
  <c r="I38" i="34"/>
  <c r="I41" i="34"/>
  <c r="I42" i="33"/>
  <c r="I43" i="33"/>
  <c r="I45" i="34"/>
  <c r="I48" i="34"/>
  <c r="I49" i="34"/>
  <c r="D3" i="34"/>
  <c r="I3" i="34"/>
  <c r="I10" i="34"/>
  <c r="I44" i="33"/>
  <c r="I55" i="34"/>
  <c r="D5" i="10"/>
  <c r="D30" i="35"/>
  <c r="D30" i="39" s="1"/>
  <c r="D25" i="10"/>
  <c r="C25" i="10"/>
  <c r="I4" i="32" l="1"/>
  <c r="D4" i="32" s="1"/>
  <c r="D4" i="34" s="1"/>
  <c r="D4" i="31"/>
  <c r="I12" i="31"/>
  <c r="I12" i="32" s="1"/>
  <c r="D29" i="29"/>
  <c r="I51" i="31"/>
  <c r="D38" i="29"/>
  <c r="I58" i="31"/>
  <c r="I57" i="29"/>
  <c r="I63" i="31"/>
  <c r="D44" i="29"/>
  <c r="I37" i="30"/>
  <c r="I37" i="29"/>
  <c r="I35" i="31"/>
  <c r="D41" i="29"/>
  <c r="I36" i="30"/>
  <c r="I36" i="29"/>
  <c r="I50" i="30"/>
  <c r="I50" i="29"/>
  <c r="D29" i="33"/>
  <c r="I3" i="33"/>
  <c r="I42" i="34"/>
  <c r="I41" i="33"/>
  <c r="D30" i="33"/>
  <c r="D28" i="34"/>
  <c r="I49" i="33"/>
  <c r="I38" i="33"/>
  <c r="I48" i="33"/>
  <c r="I34" i="33"/>
  <c r="D31" i="34"/>
  <c r="I43" i="34"/>
  <c r="D34" i="33"/>
  <c r="D32" i="34"/>
  <c r="I45" i="33"/>
  <c r="D33" i="33"/>
  <c r="I15" i="33"/>
  <c r="I15" i="34"/>
  <c r="D40" i="34"/>
  <c r="D40" i="33"/>
  <c r="D36" i="34"/>
  <c r="D36" i="33"/>
  <c r="D35" i="34"/>
  <c r="D35" i="33"/>
  <c r="I44" i="34"/>
  <c r="I52" i="34"/>
  <c r="I52" i="33"/>
  <c r="I8" i="34"/>
  <c r="I8" i="33"/>
  <c r="I53" i="34"/>
  <c r="I53" i="33"/>
  <c r="J52" i="34"/>
  <c r="J52" i="33"/>
  <c r="I62" i="34"/>
  <c r="I62" i="33"/>
  <c r="I58" i="33"/>
  <c r="I58" i="34"/>
  <c r="I6" i="33"/>
  <c r="I6" i="34"/>
  <c r="D35" i="35"/>
  <c r="D35" i="39" s="1"/>
  <c r="D36" i="35"/>
  <c r="D36" i="39" s="1"/>
  <c r="D31" i="35"/>
  <c r="D31" i="39" s="1"/>
  <c r="D34" i="35"/>
  <c r="D34" i="39" s="1"/>
  <c r="D32" i="35"/>
  <c r="D32" i="39" s="1"/>
  <c r="D33" i="35"/>
  <c r="D33" i="39" s="1"/>
  <c r="D28" i="35"/>
  <c r="D28" i="39" s="1"/>
  <c r="D27" i="35"/>
  <c r="D27" i="39" s="1"/>
  <c r="I12" i="35"/>
  <c r="I12" i="39" s="1"/>
  <c r="D37" i="35"/>
  <c r="D37" i="39" s="1"/>
  <c r="D38" i="35"/>
  <c r="D38" i="39" s="1"/>
  <c r="G31" i="10"/>
  <c r="H31" i="10"/>
  <c r="G32" i="10"/>
  <c r="H32" i="10"/>
  <c r="G33" i="10"/>
  <c r="H33" i="10"/>
  <c r="G4" i="10"/>
  <c r="H4" i="10"/>
  <c r="G5" i="10"/>
  <c r="H5" i="10"/>
  <c r="G6" i="10"/>
  <c r="H6" i="10"/>
  <c r="G7" i="10"/>
  <c r="H7" i="10"/>
  <c r="G8" i="10"/>
  <c r="H8" i="10"/>
  <c r="G9" i="10"/>
  <c r="H9" i="10"/>
  <c r="G10" i="10"/>
  <c r="H10" i="10"/>
  <c r="G11" i="10"/>
  <c r="H11" i="10"/>
  <c r="G12" i="10"/>
  <c r="H12" i="10"/>
  <c r="G13" i="10"/>
  <c r="H13" i="10"/>
  <c r="G14" i="10"/>
  <c r="H14" i="10"/>
  <c r="G15" i="10"/>
  <c r="H15" i="10"/>
  <c r="G16" i="10"/>
  <c r="H16" i="10"/>
  <c r="G17" i="10"/>
  <c r="H17" i="10"/>
  <c r="G18" i="10"/>
  <c r="H18" i="10"/>
  <c r="G19" i="10"/>
  <c r="H19" i="10"/>
  <c r="G20" i="10"/>
  <c r="H20" i="10"/>
  <c r="G21" i="10"/>
  <c r="H21" i="10"/>
  <c r="G22" i="10"/>
  <c r="H22" i="10"/>
  <c r="G23" i="10"/>
  <c r="H23" i="10"/>
  <c r="G24" i="10"/>
  <c r="H24" i="10"/>
  <c r="G25" i="10"/>
  <c r="H25" i="10"/>
  <c r="G26" i="10"/>
  <c r="H26" i="10"/>
  <c r="G27" i="10"/>
  <c r="H27" i="10"/>
  <c r="G28" i="10"/>
  <c r="H28" i="10"/>
  <c r="G29" i="10"/>
  <c r="H29" i="10"/>
  <c r="G30" i="10"/>
  <c r="H30" i="10"/>
  <c r="H3" i="10"/>
  <c r="I35" i="32" l="1"/>
  <c r="D41" i="31"/>
  <c r="D41" i="32" s="1"/>
  <c r="I37" i="31"/>
  <c r="D43" i="29"/>
  <c r="D39" i="29"/>
  <c r="I36" i="31"/>
  <c r="D42" i="29"/>
  <c r="I51" i="32"/>
  <c r="D38" i="31"/>
  <c r="D38" i="32" s="1"/>
  <c r="D37" i="29"/>
  <c r="I50" i="31"/>
  <c r="D44" i="31"/>
  <c r="D44" i="32" s="1"/>
  <c r="I63" i="32"/>
  <c r="I58" i="32"/>
  <c r="I57" i="31"/>
  <c r="I57" i="32" s="1"/>
  <c r="E6" i="34"/>
  <c r="E6" i="33"/>
  <c r="C78" i="29"/>
  <c r="C78" i="34"/>
  <c r="C78" i="33"/>
  <c r="C78" i="30"/>
  <c r="C78" i="28"/>
  <c r="E78" i="34"/>
  <c r="E78" i="33"/>
  <c r="E78" i="30"/>
  <c r="E78" i="28"/>
  <c r="E78" i="29"/>
  <c r="D78" i="34"/>
  <c r="D78" i="29"/>
  <c r="D78" i="33"/>
  <c r="D78" i="30"/>
  <c r="D78" i="28"/>
  <c r="F78" i="33"/>
  <c r="F78" i="30"/>
  <c r="F78" i="28"/>
  <c r="F78" i="29"/>
  <c r="F78" i="34"/>
  <c r="E3" i="33"/>
  <c r="E3" i="34"/>
  <c r="H11" i="35"/>
  <c r="H11" i="39" s="1"/>
  <c r="D33" i="10"/>
  <c r="D40" i="35"/>
  <c r="D40" i="39" s="1"/>
  <c r="I59" i="35"/>
  <c r="I59" i="39" s="1"/>
  <c r="D50" i="35"/>
  <c r="D50" i="39" s="1"/>
  <c r="F29" i="35"/>
  <c r="F29" i="39" s="1"/>
  <c r="E28" i="35"/>
  <c r="E28" i="39" s="1"/>
  <c r="H24" i="35"/>
  <c r="H24" i="39" s="1"/>
  <c r="H22" i="35"/>
  <c r="H22" i="39" s="1"/>
  <c r="H18" i="35"/>
  <c r="H18" i="39" s="1"/>
  <c r="H14" i="35"/>
  <c r="H14" i="39" s="1"/>
  <c r="H12" i="35"/>
  <c r="H12" i="39" s="1"/>
  <c r="H10" i="35"/>
  <c r="H10" i="39" s="1"/>
  <c r="I7" i="35"/>
  <c r="I7" i="39" s="1"/>
  <c r="D6" i="35"/>
  <c r="D6" i="39" s="1"/>
  <c r="I4" i="35"/>
  <c r="I4" i="39" s="1"/>
  <c r="F55" i="35"/>
  <c r="F55" i="39" s="1"/>
  <c r="F54" i="35"/>
  <c r="F54" i="39" s="1"/>
  <c r="F53" i="35"/>
  <c r="F53" i="39" s="1"/>
  <c r="C52" i="35"/>
  <c r="C52" i="39" s="1"/>
  <c r="C51" i="35"/>
  <c r="C51" i="39" s="1"/>
  <c r="C50" i="35"/>
  <c r="C50" i="39" s="1"/>
  <c r="J48" i="35"/>
  <c r="J48" i="39" s="1"/>
  <c r="F47" i="35"/>
  <c r="F47" i="39" s="1"/>
  <c r="F46" i="35"/>
  <c r="F46" i="39" s="1"/>
  <c r="E45" i="35"/>
  <c r="E45" i="39" s="1"/>
  <c r="F42" i="35"/>
  <c r="F42" i="39" s="1"/>
  <c r="I40" i="35"/>
  <c r="I40" i="39" s="1"/>
  <c r="F35" i="35"/>
  <c r="F35" i="39" s="1"/>
  <c r="F30" i="35"/>
  <c r="F30" i="39" s="1"/>
  <c r="E29" i="35"/>
  <c r="E29" i="39" s="1"/>
  <c r="I25" i="35"/>
  <c r="I25" i="39" s="1"/>
  <c r="G24" i="35"/>
  <c r="G24" i="39" s="1"/>
  <c r="G22" i="35"/>
  <c r="G22" i="39" s="1"/>
  <c r="G20" i="35"/>
  <c r="G20" i="39" s="1"/>
  <c r="G18" i="35"/>
  <c r="G18" i="39" s="1"/>
  <c r="G16" i="35"/>
  <c r="G16" i="39" s="1"/>
  <c r="G14" i="35"/>
  <c r="G14" i="39" s="1"/>
  <c r="G12" i="35"/>
  <c r="G12" i="39" s="1"/>
  <c r="G10" i="35"/>
  <c r="G10" i="39" s="1"/>
  <c r="H7" i="35"/>
  <c r="H7" i="39" s="1"/>
  <c r="C6" i="35"/>
  <c r="C6" i="39" s="1"/>
  <c r="H4" i="35"/>
  <c r="H4" i="39" s="1"/>
  <c r="I69" i="35"/>
  <c r="I69" i="39" s="1"/>
  <c r="I63" i="35"/>
  <c r="I63" i="39" s="1"/>
  <c r="D52" i="35"/>
  <c r="D52" i="39" s="1"/>
  <c r="E38" i="35"/>
  <c r="E38" i="39" s="1"/>
  <c r="E34" i="35"/>
  <c r="E34" i="39" s="1"/>
  <c r="G30" i="35"/>
  <c r="G30" i="39" s="1"/>
  <c r="H16" i="35"/>
  <c r="H16" i="39" s="1"/>
  <c r="F58" i="35"/>
  <c r="F58" i="39" s="1"/>
  <c r="F57" i="35"/>
  <c r="F57" i="39" s="1"/>
  <c r="F56" i="35"/>
  <c r="F56" i="39" s="1"/>
  <c r="E55" i="35"/>
  <c r="E55" i="39" s="1"/>
  <c r="E54" i="35"/>
  <c r="E54" i="39" s="1"/>
  <c r="E53" i="35"/>
  <c r="E53" i="39" s="1"/>
  <c r="J51" i="35"/>
  <c r="J51" i="39" s="1"/>
  <c r="J50" i="35"/>
  <c r="J50" i="39" s="1"/>
  <c r="E47" i="35"/>
  <c r="E47" i="39" s="1"/>
  <c r="E46" i="35"/>
  <c r="E46" i="39" s="1"/>
  <c r="D45" i="35"/>
  <c r="D45" i="39" s="1"/>
  <c r="E42" i="35"/>
  <c r="E42" i="39" s="1"/>
  <c r="F39" i="35"/>
  <c r="F39" i="39" s="1"/>
  <c r="I37" i="35"/>
  <c r="I37" i="39" s="1"/>
  <c r="E35" i="35"/>
  <c r="E35" i="39" s="1"/>
  <c r="F31" i="35"/>
  <c r="F31" i="39" s="1"/>
  <c r="E30" i="35"/>
  <c r="E30" i="39" s="1"/>
  <c r="I26" i="35"/>
  <c r="I26" i="39" s="1"/>
  <c r="H25" i="35"/>
  <c r="H25" i="39" s="1"/>
  <c r="G7" i="35"/>
  <c r="G7" i="39" s="1"/>
  <c r="G4" i="35"/>
  <c r="G4" i="39" s="1"/>
  <c r="I61" i="35"/>
  <c r="I61" i="39" s="1"/>
  <c r="D51" i="35"/>
  <c r="D51" i="39" s="1"/>
  <c r="F45" i="35"/>
  <c r="F45" i="39" s="1"/>
  <c r="I36" i="35"/>
  <c r="I36" i="39" s="1"/>
  <c r="H20" i="35"/>
  <c r="H20" i="39" s="1"/>
  <c r="F77" i="35"/>
  <c r="F77" i="39" s="1"/>
  <c r="F76" i="35"/>
  <c r="F76" i="39" s="1"/>
  <c r="F75" i="35"/>
  <c r="F75" i="39" s="1"/>
  <c r="F74" i="35"/>
  <c r="F74" i="39" s="1"/>
  <c r="F73" i="35"/>
  <c r="F73" i="39" s="1"/>
  <c r="F72" i="35"/>
  <c r="F72" i="39" s="1"/>
  <c r="F71" i="35"/>
  <c r="F71" i="39" s="1"/>
  <c r="F70" i="35"/>
  <c r="F70" i="39" s="1"/>
  <c r="F69" i="35"/>
  <c r="F69" i="39" s="1"/>
  <c r="F68" i="35"/>
  <c r="F68" i="39" s="1"/>
  <c r="F67" i="35"/>
  <c r="F67" i="39" s="1"/>
  <c r="F66" i="35"/>
  <c r="F66" i="39" s="1"/>
  <c r="F65" i="35"/>
  <c r="F65" i="39" s="1"/>
  <c r="F64" i="35"/>
  <c r="F64" i="39" s="1"/>
  <c r="F63" i="35"/>
  <c r="F63" i="39" s="1"/>
  <c r="F62" i="35"/>
  <c r="F62" i="39" s="1"/>
  <c r="F61" i="35"/>
  <c r="F61" i="39" s="1"/>
  <c r="F60" i="35"/>
  <c r="F60" i="39" s="1"/>
  <c r="F59" i="35"/>
  <c r="F59" i="39" s="1"/>
  <c r="E58" i="35"/>
  <c r="E58" i="39" s="1"/>
  <c r="E57" i="35"/>
  <c r="E57" i="39" s="1"/>
  <c r="E56" i="35"/>
  <c r="E56" i="39" s="1"/>
  <c r="D55" i="35"/>
  <c r="D55" i="39" s="1"/>
  <c r="D54" i="35"/>
  <c r="D54" i="39" s="1"/>
  <c r="D53" i="35"/>
  <c r="D53" i="39" s="1"/>
  <c r="I51" i="35"/>
  <c r="I51" i="39" s="1"/>
  <c r="I50" i="35"/>
  <c r="I50" i="39" s="1"/>
  <c r="D47" i="35"/>
  <c r="D47" i="39" s="1"/>
  <c r="D46" i="35"/>
  <c r="D46" i="39" s="1"/>
  <c r="C45" i="35"/>
  <c r="C45" i="39" s="1"/>
  <c r="E39" i="35"/>
  <c r="E39" i="39" s="1"/>
  <c r="F36" i="35"/>
  <c r="F36" i="39" s="1"/>
  <c r="H32" i="35"/>
  <c r="H32" i="39" s="1"/>
  <c r="E31" i="35"/>
  <c r="E31" i="39" s="1"/>
  <c r="I27" i="35"/>
  <c r="I27" i="39" s="1"/>
  <c r="H26" i="35"/>
  <c r="H26" i="39" s="1"/>
  <c r="G25" i="35"/>
  <c r="G25" i="39" s="1"/>
  <c r="I23" i="35"/>
  <c r="I23" i="39" s="1"/>
  <c r="I21" i="35"/>
  <c r="I21" i="39" s="1"/>
  <c r="I19" i="35"/>
  <c r="I19" i="39" s="1"/>
  <c r="I17" i="35"/>
  <c r="I17" i="39" s="1"/>
  <c r="I13" i="35"/>
  <c r="I13" i="39" s="1"/>
  <c r="I11" i="35"/>
  <c r="I11" i="39" s="1"/>
  <c r="G9" i="35"/>
  <c r="G9" i="39" s="1"/>
  <c r="I5" i="35"/>
  <c r="I5" i="39" s="1"/>
  <c r="F4" i="35"/>
  <c r="F4" i="39" s="1"/>
  <c r="I62" i="35"/>
  <c r="I62" i="39" s="1"/>
  <c r="J47" i="35"/>
  <c r="J47" i="39" s="1"/>
  <c r="E75" i="35"/>
  <c r="E75" i="39" s="1"/>
  <c r="E73" i="35"/>
  <c r="E73" i="39" s="1"/>
  <c r="E71" i="35"/>
  <c r="E71" i="39" s="1"/>
  <c r="E68" i="35"/>
  <c r="E68" i="39" s="1"/>
  <c r="E66" i="35"/>
  <c r="E66" i="39" s="1"/>
  <c r="E64" i="35"/>
  <c r="E64" i="39" s="1"/>
  <c r="E62" i="35"/>
  <c r="E62" i="39" s="1"/>
  <c r="E60" i="35"/>
  <c r="E60" i="39" s="1"/>
  <c r="D57" i="35"/>
  <c r="D57" i="39" s="1"/>
  <c r="C55" i="35"/>
  <c r="C55" i="39" s="1"/>
  <c r="F48" i="35"/>
  <c r="F48" i="39" s="1"/>
  <c r="C46" i="35"/>
  <c r="C46" i="39" s="1"/>
  <c r="F43" i="35"/>
  <c r="F43" i="39" s="1"/>
  <c r="F40" i="35"/>
  <c r="F40" i="39" s="1"/>
  <c r="E36" i="35"/>
  <c r="E36" i="39" s="1"/>
  <c r="G32" i="35"/>
  <c r="G32" i="39" s="1"/>
  <c r="I28" i="35"/>
  <c r="I28" i="39" s="1"/>
  <c r="H27" i="35"/>
  <c r="H27" i="39" s="1"/>
  <c r="G26" i="35"/>
  <c r="G26" i="39" s="1"/>
  <c r="F25" i="35"/>
  <c r="F25" i="39" s="1"/>
  <c r="H23" i="35"/>
  <c r="H23" i="39" s="1"/>
  <c r="H21" i="35"/>
  <c r="H21" i="39" s="1"/>
  <c r="H19" i="35"/>
  <c r="H19" i="39" s="1"/>
  <c r="H17" i="35"/>
  <c r="H17" i="39" s="1"/>
  <c r="H15" i="35"/>
  <c r="H15" i="39" s="1"/>
  <c r="H13" i="35"/>
  <c r="H13" i="39" s="1"/>
  <c r="H6" i="35"/>
  <c r="H6" i="39" s="1"/>
  <c r="H5" i="35"/>
  <c r="H5" i="39" s="1"/>
  <c r="I65" i="35"/>
  <c r="I65" i="39" s="1"/>
  <c r="E77" i="35"/>
  <c r="E77" i="39" s="1"/>
  <c r="E76" i="35"/>
  <c r="E76" i="39" s="1"/>
  <c r="E74" i="35"/>
  <c r="E74" i="39" s="1"/>
  <c r="E72" i="35"/>
  <c r="E72" i="39" s="1"/>
  <c r="E70" i="35"/>
  <c r="E70" i="39" s="1"/>
  <c r="E69" i="35"/>
  <c r="E69" i="39" s="1"/>
  <c r="E67" i="35"/>
  <c r="E67" i="39" s="1"/>
  <c r="E65" i="35"/>
  <c r="E65" i="39" s="1"/>
  <c r="E63" i="35"/>
  <c r="E63" i="39" s="1"/>
  <c r="E61" i="35"/>
  <c r="E61" i="39" s="1"/>
  <c r="E59" i="35"/>
  <c r="E59" i="39" s="1"/>
  <c r="D58" i="35"/>
  <c r="D58" i="39" s="1"/>
  <c r="D56" i="35"/>
  <c r="D56" i="39" s="1"/>
  <c r="C54" i="35"/>
  <c r="C54" i="39" s="1"/>
  <c r="C53" i="35"/>
  <c r="C53" i="39" s="1"/>
  <c r="C47" i="35"/>
  <c r="C47" i="39" s="1"/>
  <c r="D77" i="35"/>
  <c r="D77" i="39" s="1"/>
  <c r="D76" i="35"/>
  <c r="D76" i="39" s="1"/>
  <c r="D75" i="35"/>
  <c r="D75" i="39" s="1"/>
  <c r="D74" i="35"/>
  <c r="D74" i="39" s="1"/>
  <c r="D73" i="35"/>
  <c r="D73" i="39" s="1"/>
  <c r="D72" i="35"/>
  <c r="D72" i="39" s="1"/>
  <c r="D71" i="35"/>
  <c r="D71" i="39" s="1"/>
  <c r="D70" i="35"/>
  <c r="D70" i="39" s="1"/>
  <c r="D69" i="35"/>
  <c r="D69" i="39" s="1"/>
  <c r="D68" i="35"/>
  <c r="D68" i="39" s="1"/>
  <c r="D67" i="35"/>
  <c r="D67" i="39" s="1"/>
  <c r="D66" i="35"/>
  <c r="D66" i="39" s="1"/>
  <c r="D65" i="35"/>
  <c r="D65" i="39" s="1"/>
  <c r="D64" i="35"/>
  <c r="D64" i="39" s="1"/>
  <c r="D63" i="35"/>
  <c r="D63" i="39" s="1"/>
  <c r="D62" i="35"/>
  <c r="D62" i="39" s="1"/>
  <c r="D61" i="35"/>
  <c r="D61" i="39" s="1"/>
  <c r="D60" i="35"/>
  <c r="D60" i="39" s="1"/>
  <c r="D59" i="35"/>
  <c r="D59" i="39" s="1"/>
  <c r="C58" i="35"/>
  <c r="C58" i="39" s="1"/>
  <c r="C57" i="35"/>
  <c r="C57" i="39" s="1"/>
  <c r="C56" i="35"/>
  <c r="C56" i="39" s="1"/>
  <c r="J54" i="35"/>
  <c r="J54" i="39" s="1"/>
  <c r="J53" i="35"/>
  <c r="J53" i="39" s="1"/>
  <c r="J52" i="35"/>
  <c r="J52" i="39" s="1"/>
  <c r="F49" i="35"/>
  <c r="F49" i="39" s="1"/>
  <c r="E48" i="35"/>
  <c r="E48" i="39" s="1"/>
  <c r="E43" i="35"/>
  <c r="E43" i="39" s="1"/>
  <c r="E40" i="35"/>
  <c r="E40" i="39" s="1"/>
  <c r="F37" i="35"/>
  <c r="F37" i="39" s="1"/>
  <c r="F32" i="35"/>
  <c r="F32" i="39" s="1"/>
  <c r="I29" i="35"/>
  <c r="I29" i="39" s="1"/>
  <c r="H28" i="35"/>
  <c r="H28" i="39" s="1"/>
  <c r="G27" i="35"/>
  <c r="G27" i="39" s="1"/>
  <c r="F26" i="35"/>
  <c r="F26" i="39" s="1"/>
  <c r="E25" i="35"/>
  <c r="E25" i="39" s="1"/>
  <c r="G23" i="35"/>
  <c r="G23" i="39" s="1"/>
  <c r="G21" i="35"/>
  <c r="G21" i="39" s="1"/>
  <c r="G19" i="35"/>
  <c r="G19" i="39" s="1"/>
  <c r="G17" i="35"/>
  <c r="G17" i="39" s="1"/>
  <c r="G15" i="35"/>
  <c r="G15" i="39" s="1"/>
  <c r="G13" i="35"/>
  <c r="G13" i="39" s="1"/>
  <c r="G11" i="35"/>
  <c r="G11" i="39" s="1"/>
  <c r="H8" i="35"/>
  <c r="H8" i="39" s="1"/>
  <c r="G6" i="35"/>
  <c r="G6" i="39" s="1"/>
  <c r="G5" i="35"/>
  <c r="G5" i="39" s="1"/>
  <c r="I60" i="35"/>
  <c r="I60" i="39" s="1"/>
  <c r="C49" i="35"/>
  <c r="C49" i="39" s="1"/>
  <c r="C75" i="35"/>
  <c r="C75" i="39" s="1"/>
  <c r="C73" i="35"/>
  <c r="C73" i="39" s="1"/>
  <c r="C71" i="35"/>
  <c r="C71" i="39" s="1"/>
  <c r="C70" i="35"/>
  <c r="C70" i="39" s="1"/>
  <c r="C68" i="35"/>
  <c r="C68" i="39" s="1"/>
  <c r="C67" i="35"/>
  <c r="C67" i="39" s="1"/>
  <c r="C65" i="35"/>
  <c r="C65" i="39" s="1"/>
  <c r="C64" i="35"/>
  <c r="C64" i="39" s="1"/>
  <c r="C63" i="35"/>
  <c r="C63" i="39" s="1"/>
  <c r="C62" i="35"/>
  <c r="C62" i="39" s="1"/>
  <c r="C61" i="35"/>
  <c r="C61" i="39" s="1"/>
  <c r="C60" i="35"/>
  <c r="C60" i="39" s="1"/>
  <c r="C59" i="35"/>
  <c r="C59" i="39" s="1"/>
  <c r="J56" i="35"/>
  <c r="J56" i="39" s="1"/>
  <c r="J55" i="35"/>
  <c r="J55" i="39" s="1"/>
  <c r="I53" i="35"/>
  <c r="I53" i="39" s="1"/>
  <c r="F52" i="35"/>
  <c r="F52" i="39" s="1"/>
  <c r="F51" i="35"/>
  <c r="F51" i="39" s="1"/>
  <c r="F50" i="35"/>
  <c r="F50" i="39" s="1"/>
  <c r="E49" i="35"/>
  <c r="E49" i="39" s="1"/>
  <c r="D48" i="35"/>
  <c r="D48" i="39" s="1"/>
  <c r="I46" i="35"/>
  <c r="I46" i="39" s="1"/>
  <c r="F41" i="35"/>
  <c r="F41" i="39" s="1"/>
  <c r="E37" i="35"/>
  <c r="E37" i="39" s="1"/>
  <c r="I35" i="35"/>
  <c r="I35" i="39" s="1"/>
  <c r="F33" i="35"/>
  <c r="F33" i="39" s="1"/>
  <c r="E32" i="35"/>
  <c r="E32" i="39" s="1"/>
  <c r="I30" i="35"/>
  <c r="I30" i="39" s="1"/>
  <c r="H29" i="35"/>
  <c r="H29" i="39" s="1"/>
  <c r="G28" i="35"/>
  <c r="G28" i="39" s="1"/>
  <c r="F27" i="35"/>
  <c r="F27" i="39" s="1"/>
  <c r="E26" i="35"/>
  <c r="E26" i="39" s="1"/>
  <c r="G8" i="35"/>
  <c r="G8" i="39" s="1"/>
  <c r="F6" i="35"/>
  <c r="F6" i="39" s="1"/>
  <c r="F5" i="35"/>
  <c r="F5" i="39" s="1"/>
  <c r="I64" i="35"/>
  <c r="I64" i="39" s="1"/>
  <c r="E44" i="35"/>
  <c r="E44" i="39" s="1"/>
  <c r="C77" i="35"/>
  <c r="C77" i="39" s="1"/>
  <c r="C76" i="35"/>
  <c r="C76" i="39" s="1"/>
  <c r="C74" i="35"/>
  <c r="C74" i="39" s="1"/>
  <c r="C72" i="35"/>
  <c r="C72" i="39" s="1"/>
  <c r="C69" i="35"/>
  <c r="C69" i="39" s="1"/>
  <c r="C66" i="35"/>
  <c r="C66" i="39" s="1"/>
  <c r="I54" i="35"/>
  <c r="I54" i="39" s="1"/>
  <c r="J68" i="35"/>
  <c r="J68" i="39" s="1"/>
  <c r="J67" i="35"/>
  <c r="J67" i="39" s="1"/>
  <c r="J66" i="35"/>
  <c r="J66" i="39" s="1"/>
  <c r="J65" i="35"/>
  <c r="J65" i="39" s="1"/>
  <c r="J64" i="35"/>
  <c r="J64" i="39" s="1"/>
  <c r="J63" i="35"/>
  <c r="J63" i="39" s="1"/>
  <c r="J62" i="35"/>
  <c r="J62" i="39" s="1"/>
  <c r="J61" i="35"/>
  <c r="J61" i="39" s="1"/>
  <c r="J60" i="35"/>
  <c r="J60" i="39" s="1"/>
  <c r="J59" i="35"/>
  <c r="J59" i="39" s="1"/>
  <c r="J58" i="35"/>
  <c r="J58" i="39" s="1"/>
  <c r="I56" i="35"/>
  <c r="I56" i="39" s="1"/>
  <c r="E52" i="35"/>
  <c r="E52" i="39" s="1"/>
  <c r="E51" i="35"/>
  <c r="E51" i="39" s="1"/>
  <c r="E50" i="35"/>
  <c r="E50" i="39" s="1"/>
  <c r="D49" i="35"/>
  <c r="D49" i="39" s="1"/>
  <c r="C48" i="35"/>
  <c r="C48" i="39" s="1"/>
  <c r="F44" i="35"/>
  <c r="F44" i="39" s="1"/>
  <c r="E41" i="35"/>
  <c r="E41" i="39" s="1"/>
  <c r="I39" i="35"/>
  <c r="I39" i="39" s="1"/>
  <c r="F38" i="35"/>
  <c r="F38" i="39" s="1"/>
  <c r="F34" i="35"/>
  <c r="F34" i="39" s="1"/>
  <c r="E33" i="35"/>
  <c r="E33" i="39" s="1"/>
  <c r="H30" i="35"/>
  <c r="H30" i="39" s="1"/>
  <c r="G29" i="35"/>
  <c r="G29" i="39" s="1"/>
  <c r="F28" i="35"/>
  <c r="F28" i="39" s="1"/>
  <c r="E27" i="35"/>
  <c r="E27" i="39" s="1"/>
  <c r="I24" i="35"/>
  <c r="I24" i="39" s="1"/>
  <c r="I22" i="35"/>
  <c r="I22" i="39" s="1"/>
  <c r="I20" i="35"/>
  <c r="I20" i="39" s="1"/>
  <c r="I18" i="35"/>
  <c r="I18" i="39" s="1"/>
  <c r="I16" i="35"/>
  <c r="I16" i="39" s="1"/>
  <c r="I14" i="35"/>
  <c r="I14" i="39" s="1"/>
  <c r="E6" i="35"/>
  <c r="E6" i="39" s="1"/>
  <c r="F3" i="35"/>
  <c r="F3" i="39" s="1"/>
  <c r="H9" i="35"/>
  <c r="H9" i="39" s="1"/>
  <c r="D29" i="35"/>
  <c r="D29" i="39" s="1"/>
  <c r="D42" i="35"/>
  <c r="D42" i="39" s="1"/>
  <c r="B36" i="10"/>
  <c r="B32" i="10"/>
  <c r="B33" i="10"/>
  <c r="B34" i="10"/>
  <c r="B35" i="10"/>
  <c r="J79" i="24"/>
  <c r="B28" i="10"/>
  <c r="B29" i="10"/>
  <c r="B30" i="10"/>
  <c r="B31" i="10"/>
  <c r="B27" i="10"/>
  <c r="B26" i="10"/>
  <c r="C26" i="10"/>
  <c r="C4" i="10"/>
  <c r="C3" i="10"/>
  <c r="G70" i="10"/>
  <c r="H70" i="10"/>
  <c r="I70" i="10"/>
  <c r="J70" i="10"/>
  <c r="G71" i="10"/>
  <c r="H71" i="10"/>
  <c r="I71" i="10"/>
  <c r="J71" i="10"/>
  <c r="G72" i="10"/>
  <c r="H72" i="10"/>
  <c r="I72" i="10"/>
  <c r="J72" i="10"/>
  <c r="G73" i="10"/>
  <c r="H73" i="10"/>
  <c r="I73" i="10"/>
  <c r="J73" i="10"/>
  <c r="G74" i="10"/>
  <c r="H74" i="10"/>
  <c r="I74" i="10"/>
  <c r="J74" i="10"/>
  <c r="G75" i="10"/>
  <c r="H75" i="10"/>
  <c r="I75" i="10"/>
  <c r="J75" i="10"/>
  <c r="G76" i="10"/>
  <c r="H76" i="10"/>
  <c r="I76" i="10"/>
  <c r="J76" i="10"/>
  <c r="G77" i="10"/>
  <c r="H77" i="10"/>
  <c r="I77" i="10"/>
  <c r="J77" i="10"/>
  <c r="G78" i="10"/>
  <c r="H78" i="10"/>
  <c r="I78" i="10"/>
  <c r="J78" i="10"/>
  <c r="G79" i="10"/>
  <c r="H79" i="10"/>
  <c r="I79" i="10"/>
  <c r="J79" i="10"/>
  <c r="H69" i="10"/>
  <c r="J69" i="10"/>
  <c r="G69" i="10"/>
  <c r="G59" i="10"/>
  <c r="H59" i="10"/>
  <c r="G60" i="10"/>
  <c r="H60" i="10"/>
  <c r="G61" i="10"/>
  <c r="H61" i="10"/>
  <c r="G62" i="10"/>
  <c r="H62" i="10"/>
  <c r="G63" i="10"/>
  <c r="H63" i="10"/>
  <c r="G64" i="10"/>
  <c r="H64" i="10"/>
  <c r="G65" i="10"/>
  <c r="H65" i="10"/>
  <c r="G66" i="10"/>
  <c r="H66" i="10"/>
  <c r="I66" i="10"/>
  <c r="G67" i="10"/>
  <c r="H67" i="10"/>
  <c r="I67" i="10"/>
  <c r="G68" i="10"/>
  <c r="H68" i="10"/>
  <c r="I68" i="10"/>
  <c r="G35" i="10"/>
  <c r="H35" i="10"/>
  <c r="G36" i="10"/>
  <c r="H36" i="10"/>
  <c r="G37" i="10"/>
  <c r="H37" i="10"/>
  <c r="G38" i="10"/>
  <c r="H38" i="10"/>
  <c r="G39" i="10"/>
  <c r="H39" i="10"/>
  <c r="G40" i="10"/>
  <c r="H40" i="10"/>
  <c r="G41" i="10"/>
  <c r="H41" i="10"/>
  <c r="G42" i="10"/>
  <c r="H42" i="10"/>
  <c r="G43" i="10"/>
  <c r="H43" i="10"/>
  <c r="G44" i="10"/>
  <c r="H44" i="10"/>
  <c r="G45" i="10"/>
  <c r="H45" i="10"/>
  <c r="G46" i="10"/>
  <c r="H46" i="10"/>
  <c r="G47" i="10"/>
  <c r="H47" i="10"/>
  <c r="C5" i="10" s="1"/>
  <c r="G48" i="10"/>
  <c r="H48" i="10"/>
  <c r="G49" i="10"/>
  <c r="H49" i="10"/>
  <c r="G50" i="10"/>
  <c r="H50" i="10"/>
  <c r="G51" i="10"/>
  <c r="H51" i="10"/>
  <c r="G52" i="10"/>
  <c r="H52" i="10"/>
  <c r="G53" i="10"/>
  <c r="H53" i="10"/>
  <c r="G54" i="10"/>
  <c r="H54" i="10"/>
  <c r="G55" i="10"/>
  <c r="H55" i="10"/>
  <c r="G56" i="10"/>
  <c r="H56" i="10"/>
  <c r="G57" i="10"/>
  <c r="H57" i="10"/>
  <c r="G58" i="10"/>
  <c r="H58" i="10"/>
  <c r="H34" i="10"/>
  <c r="G34" i="10"/>
  <c r="J4" i="10"/>
  <c r="J5" i="10"/>
  <c r="J6" i="10"/>
  <c r="J7" i="10"/>
  <c r="I11" i="10"/>
  <c r="J11" i="10"/>
  <c r="I12" i="10"/>
  <c r="J12" i="10"/>
  <c r="I13" i="10"/>
  <c r="J13" i="10"/>
  <c r="I14" i="10"/>
  <c r="J14" i="10"/>
  <c r="I15" i="10"/>
  <c r="J15" i="10"/>
  <c r="J16" i="10"/>
  <c r="I17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I31" i="10"/>
  <c r="J31" i="10"/>
  <c r="I32" i="10"/>
  <c r="J32" i="10"/>
  <c r="I33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3" i="10"/>
  <c r="G3" i="10"/>
  <c r="D42" i="31" l="1"/>
  <c r="D42" i="32" s="1"/>
  <c r="I36" i="32"/>
  <c r="D37" i="31"/>
  <c r="D37" i="32" s="1"/>
  <c r="I50" i="32"/>
  <c r="D43" i="31"/>
  <c r="D43" i="32" s="1"/>
  <c r="D39" i="31"/>
  <c r="D39" i="32" s="1"/>
  <c r="I37" i="32"/>
  <c r="D41" i="34"/>
  <c r="D41" i="33"/>
  <c r="D38" i="34"/>
  <c r="D38" i="33"/>
  <c r="C5" i="35"/>
  <c r="C5" i="39" s="1"/>
  <c r="J34" i="35"/>
  <c r="J34" i="39" s="1"/>
  <c r="G66" i="35"/>
  <c r="G66" i="39" s="1"/>
  <c r="G62" i="35"/>
  <c r="G62" i="39" s="1"/>
  <c r="G50" i="35"/>
  <c r="G50" i="39" s="1"/>
  <c r="G70" i="35"/>
  <c r="G70" i="39" s="1"/>
  <c r="J75" i="35"/>
  <c r="J75" i="39" s="1"/>
  <c r="J71" i="35"/>
  <c r="J71" i="39" s="1"/>
  <c r="J33" i="35"/>
  <c r="J33" i="39" s="1"/>
  <c r="I67" i="35"/>
  <c r="I67" i="39" s="1"/>
  <c r="I77" i="35"/>
  <c r="I77" i="39" s="1"/>
  <c r="C4" i="35"/>
  <c r="C4" i="39" s="1"/>
  <c r="C33" i="35"/>
  <c r="C33" i="39" s="1"/>
  <c r="J45" i="35"/>
  <c r="J45" i="39" s="1"/>
  <c r="C29" i="35"/>
  <c r="C29" i="39" s="1"/>
  <c r="G75" i="35"/>
  <c r="G75" i="39" s="1"/>
  <c r="C27" i="35"/>
  <c r="C27" i="39" s="1"/>
  <c r="H54" i="35"/>
  <c r="H54" i="39" s="1"/>
  <c r="H46" i="35"/>
  <c r="H46" i="39" s="1"/>
  <c r="H78" i="39"/>
  <c r="H78" i="35"/>
  <c r="G3" i="35"/>
  <c r="G3" i="39" s="1"/>
  <c r="I31" i="35"/>
  <c r="I31" i="39" s="1"/>
  <c r="J37" i="35"/>
  <c r="J37" i="39" s="1"/>
  <c r="J43" i="35"/>
  <c r="J43" i="39" s="1"/>
  <c r="G57" i="35"/>
  <c r="G57" i="39" s="1"/>
  <c r="H68" i="35"/>
  <c r="H68" i="39" s="1"/>
  <c r="H72" i="35"/>
  <c r="H72" i="39" s="1"/>
  <c r="H76" i="35"/>
  <c r="H76" i="39" s="1"/>
  <c r="G35" i="35"/>
  <c r="G35" i="39" s="1"/>
  <c r="I66" i="35"/>
  <c r="I66" i="39" s="1"/>
  <c r="I76" i="35"/>
  <c r="I76" i="39" s="1"/>
  <c r="H61" i="35"/>
  <c r="H61" i="39" s="1"/>
  <c r="G78" i="39"/>
  <c r="G78" i="35"/>
  <c r="B31" i="35"/>
  <c r="B31" i="33"/>
  <c r="B31" i="34"/>
  <c r="B31" i="39"/>
  <c r="B35" i="39"/>
  <c r="B35" i="35"/>
  <c r="B35" i="34"/>
  <c r="B35" i="33"/>
  <c r="J72" i="35"/>
  <c r="J72" i="39" s="1"/>
  <c r="J76" i="35"/>
  <c r="J76" i="39" s="1"/>
  <c r="J42" i="35"/>
  <c r="J42" i="39" s="1"/>
  <c r="J46" i="35"/>
  <c r="J46" i="39" s="1"/>
  <c r="G51" i="35"/>
  <c r="G51" i="39" s="1"/>
  <c r="C31" i="35"/>
  <c r="C31" i="39" s="1"/>
  <c r="G49" i="35"/>
  <c r="G49" i="39" s="1"/>
  <c r="I15" i="35"/>
  <c r="I15" i="39" s="1"/>
  <c r="I33" i="35"/>
  <c r="I33" i="39" s="1"/>
  <c r="G40" i="35"/>
  <c r="G40" i="39" s="1"/>
  <c r="I73" i="35"/>
  <c r="I73" i="39" s="1"/>
  <c r="G59" i="35"/>
  <c r="G59" i="39" s="1"/>
  <c r="G63" i="35"/>
  <c r="G63" i="39" s="1"/>
  <c r="G67" i="35"/>
  <c r="G67" i="39" s="1"/>
  <c r="G71" i="35"/>
  <c r="G71" i="39" s="1"/>
  <c r="G76" i="35"/>
  <c r="G76" i="39" s="1"/>
  <c r="G55" i="35"/>
  <c r="G55" i="39" s="1"/>
  <c r="H49" i="35"/>
  <c r="H49" i="39" s="1"/>
  <c r="H41" i="35"/>
  <c r="H41" i="39" s="1"/>
  <c r="H3" i="35"/>
  <c r="H3" i="39" s="1"/>
  <c r="C26" i="35"/>
  <c r="C26" i="39" s="1"/>
  <c r="G53" i="35"/>
  <c r="G53" i="39" s="1"/>
  <c r="C28" i="35"/>
  <c r="C28" i="39" s="1"/>
  <c r="J32" i="35"/>
  <c r="J32" i="39" s="1"/>
  <c r="G39" i="35"/>
  <c r="G39" i="39" s="1"/>
  <c r="G58" i="35"/>
  <c r="G58" i="39" s="1"/>
  <c r="H69" i="35"/>
  <c r="H69" i="39" s="1"/>
  <c r="H73" i="35"/>
  <c r="H73" i="39" s="1"/>
  <c r="H77" i="35"/>
  <c r="H77" i="39" s="1"/>
  <c r="G42" i="35"/>
  <c r="G42" i="39" s="1"/>
  <c r="I68" i="35"/>
  <c r="I68" i="39" s="1"/>
  <c r="B30" i="39"/>
  <c r="B30" i="34"/>
  <c r="B30" i="35"/>
  <c r="B30" i="33"/>
  <c r="B34" i="33"/>
  <c r="B34" i="34"/>
  <c r="B34" i="39"/>
  <c r="B34" i="35"/>
  <c r="J36" i="35"/>
  <c r="J36" i="39" s="1"/>
  <c r="J69" i="35"/>
  <c r="J69" i="39" s="1"/>
  <c r="J73" i="35"/>
  <c r="J73" i="39" s="1"/>
  <c r="J77" i="35"/>
  <c r="J77" i="39" s="1"/>
  <c r="G38" i="35"/>
  <c r="G38" i="39" s="1"/>
  <c r="G44" i="35"/>
  <c r="G44" i="39" s="1"/>
  <c r="G33" i="35"/>
  <c r="G33" i="39" s="1"/>
  <c r="G41" i="35"/>
  <c r="G41" i="39" s="1"/>
  <c r="I72" i="35"/>
  <c r="I72" i="39" s="1"/>
  <c r="G37" i="35"/>
  <c r="G37" i="39" s="1"/>
  <c r="J44" i="35"/>
  <c r="J44" i="39" s="1"/>
  <c r="I70" i="35"/>
  <c r="I70" i="39" s="1"/>
  <c r="C30" i="35"/>
  <c r="C30" i="39" s="1"/>
  <c r="C35" i="35"/>
  <c r="C35" i="39" s="1"/>
  <c r="J41" i="35"/>
  <c r="J41" i="39" s="1"/>
  <c r="G36" i="35"/>
  <c r="G36" i="39" s="1"/>
  <c r="G60" i="35"/>
  <c r="G60" i="39" s="1"/>
  <c r="G64" i="35"/>
  <c r="G64" i="39" s="1"/>
  <c r="G68" i="35"/>
  <c r="G68" i="39" s="1"/>
  <c r="G72" i="35"/>
  <c r="G72" i="39" s="1"/>
  <c r="G77" i="35"/>
  <c r="G77" i="39" s="1"/>
  <c r="H56" i="35"/>
  <c r="H56" i="39" s="1"/>
  <c r="H40" i="35"/>
  <c r="H40" i="39" s="1"/>
  <c r="H36" i="35"/>
  <c r="H36" i="39" s="1"/>
  <c r="C3" i="35"/>
  <c r="C3" i="39" s="1"/>
  <c r="C32" i="35"/>
  <c r="C32" i="39" s="1"/>
  <c r="J40" i="35"/>
  <c r="J40" i="39" s="1"/>
  <c r="C34" i="35"/>
  <c r="C34" i="39" s="1"/>
  <c r="H66" i="35"/>
  <c r="H66" i="39" s="1"/>
  <c r="H70" i="35"/>
  <c r="H70" i="39" s="1"/>
  <c r="H74" i="35"/>
  <c r="H74" i="39" s="1"/>
  <c r="I71" i="35"/>
  <c r="I71" i="39" s="1"/>
  <c r="B29" i="39"/>
  <c r="B29" i="34"/>
  <c r="B29" i="35"/>
  <c r="B29" i="33"/>
  <c r="B33" i="34"/>
  <c r="B33" i="33"/>
  <c r="B33" i="39"/>
  <c r="B33" i="35"/>
  <c r="B36" i="39"/>
  <c r="B36" i="34"/>
  <c r="B36" i="35"/>
  <c r="B36" i="33"/>
  <c r="J70" i="35"/>
  <c r="J70" i="39" s="1"/>
  <c r="J74" i="35"/>
  <c r="J74" i="39" s="1"/>
  <c r="G34" i="35"/>
  <c r="G34" i="39" s="1"/>
  <c r="J39" i="35"/>
  <c r="J39" i="39" s="1"/>
  <c r="I75" i="35"/>
  <c r="I75" i="39" s="1"/>
  <c r="J35" i="35"/>
  <c r="J35" i="39" s="1"/>
  <c r="H33" i="35"/>
  <c r="H33" i="39" s="1"/>
  <c r="J38" i="35"/>
  <c r="J38" i="39" s="1"/>
  <c r="G43" i="35"/>
  <c r="G43" i="39" s="1"/>
  <c r="G48" i="35"/>
  <c r="G48" i="39" s="1"/>
  <c r="I32" i="35"/>
  <c r="I32" i="39" s="1"/>
  <c r="G61" i="35"/>
  <c r="G61" i="39" s="1"/>
  <c r="G65" i="35"/>
  <c r="G65" i="39" s="1"/>
  <c r="G69" i="35"/>
  <c r="G69" i="39" s="1"/>
  <c r="G74" i="35"/>
  <c r="G74" i="39" s="1"/>
  <c r="G46" i="35"/>
  <c r="G46" i="39" s="1"/>
  <c r="H43" i="35"/>
  <c r="H43" i="39" s="1"/>
  <c r="H35" i="35"/>
  <c r="H35" i="39" s="1"/>
  <c r="J78" i="24"/>
  <c r="J78" i="39"/>
  <c r="J78" i="35"/>
  <c r="B26" i="33"/>
  <c r="B26" i="39"/>
  <c r="B26" i="34"/>
  <c r="B26" i="35"/>
  <c r="G45" i="35"/>
  <c r="G45" i="39" s="1"/>
  <c r="G73" i="35"/>
  <c r="G73" i="39" s="1"/>
  <c r="G56" i="35"/>
  <c r="G56" i="39" s="1"/>
  <c r="H67" i="35"/>
  <c r="H67" i="39" s="1"/>
  <c r="H71" i="35"/>
  <c r="H71" i="39" s="1"/>
  <c r="H75" i="35"/>
  <c r="H75" i="39" s="1"/>
  <c r="I74" i="35"/>
  <c r="I74" i="39" s="1"/>
  <c r="I78" i="39"/>
  <c r="I78" i="35"/>
  <c r="B27" i="39"/>
  <c r="B27" i="35"/>
  <c r="B27" i="34"/>
  <c r="B27" i="33"/>
  <c r="B28" i="39"/>
  <c r="B28" i="35"/>
  <c r="B28" i="34"/>
  <c r="B28" i="33"/>
  <c r="B32" i="33"/>
  <c r="B32" i="34"/>
  <c r="B32" i="39"/>
  <c r="B32" i="35"/>
  <c r="H65" i="35"/>
  <c r="H65" i="39" s="1"/>
  <c r="H64" i="35"/>
  <c r="H64" i="39" s="1"/>
  <c r="H63" i="35"/>
  <c r="H63" i="39" s="1"/>
  <c r="H59" i="35"/>
  <c r="H59" i="39" s="1"/>
  <c r="H55" i="35"/>
  <c r="H55" i="39" s="1"/>
  <c r="G54" i="35"/>
  <c r="G54" i="39" s="1"/>
  <c r="H50" i="35"/>
  <c r="H50" i="39" s="1"/>
  <c r="H48" i="35"/>
  <c r="H48" i="39" s="1"/>
  <c r="H45" i="35"/>
  <c r="H45" i="39" s="1"/>
  <c r="H44" i="35"/>
  <c r="H44" i="39" s="1"/>
  <c r="H38" i="35"/>
  <c r="H38" i="39" s="1"/>
  <c r="H34" i="35"/>
  <c r="H34" i="39" s="1"/>
  <c r="I9" i="33"/>
  <c r="I9" i="34"/>
  <c r="C44" i="35"/>
  <c r="C44" i="39" s="1"/>
  <c r="C40" i="35"/>
  <c r="C40" i="39" s="1"/>
  <c r="C25" i="35"/>
  <c r="C25" i="39" s="1"/>
  <c r="D25" i="35"/>
  <c r="D25" i="39" s="1"/>
  <c r="J8" i="34"/>
  <c r="J8" i="33"/>
  <c r="D43" i="35"/>
  <c r="D43" i="39" s="1"/>
  <c r="C39" i="35"/>
  <c r="C39" i="39" s="1"/>
  <c r="D41" i="35"/>
  <c r="D41" i="39" s="1"/>
  <c r="C41" i="35"/>
  <c r="C41" i="39" s="1"/>
  <c r="C43" i="35"/>
  <c r="C43" i="39" s="1"/>
  <c r="J10" i="34"/>
  <c r="J10" i="33"/>
  <c r="E4" i="34"/>
  <c r="E4" i="33"/>
  <c r="C37" i="35"/>
  <c r="C37" i="39" s="1"/>
  <c r="D44" i="35"/>
  <c r="D44" i="39" s="1"/>
  <c r="C42" i="35"/>
  <c r="C42" i="39" s="1"/>
  <c r="C38" i="35"/>
  <c r="C38" i="39" s="1"/>
  <c r="C36" i="35"/>
  <c r="C36" i="39" s="1"/>
  <c r="J49" i="34"/>
  <c r="J49" i="33"/>
  <c r="J57" i="34"/>
  <c r="J57" i="33"/>
  <c r="D39" i="34" l="1"/>
  <c r="D39" i="33"/>
  <c r="D43" i="34"/>
  <c r="D43" i="33"/>
  <c r="D37" i="33"/>
  <c r="D37" i="34"/>
  <c r="D42" i="34"/>
  <c r="D42" i="33"/>
  <c r="H59" i="34"/>
  <c r="J34" i="33"/>
  <c r="H58" i="34"/>
  <c r="J71" i="34"/>
  <c r="G75" i="34"/>
  <c r="H61" i="33"/>
  <c r="G50" i="34"/>
  <c r="I77" i="33"/>
  <c r="H49" i="34"/>
  <c r="G66" i="34"/>
  <c r="C4" i="33"/>
  <c r="H42" i="34"/>
  <c r="G44" i="33"/>
  <c r="J44" i="34"/>
  <c r="G64" i="33"/>
  <c r="J38" i="34"/>
  <c r="I75" i="34"/>
  <c r="J73" i="34"/>
  <c r="G74" i="33"/>
  <c r="J69" i="34"/>
  <c r="I72" i="34"/>
  <c r="G51" i="33"/>
  <c r="G59" i="34"/>
  <c r="G71" i="34"/>
  <c r="G48" i="34"/>
  <c r="H67" i="33"/>
  <c r="J39" i="33"/>
  <c r="H33" i="34"/>
  <c r="G76" i="34"/>
  <c r="I74" i="34"/>
  <c r="G55" i="34"/>
  <c r="G63" i="33"/>
  <c r="G73" i="34"/>
  <c r="G56" i="34"/>
  <c r="C26" i="34"/>
  <c r="J40" i="34"/>
  <c r="J77" i="33"/>
  <c r="I33" i="34"/>
  <c r="H69" i="33"/>
  <c r="I76" i="33"/>
  <c r="J3" i="34"/>
  <c r="I66" i="34"/>
  <c r="J37" i="33"/>
  <c r="H71" i="34"/>
  <c r="G37" i="34"/>
  <c r="G61" i="33"/>
  <c r="J41" i="33"/>
  <c r="H68" i="33"/>
  <c r="C31" i="34"/>
  <c r="I68" i="33"/>
  <c r="G69" i="34"/>
  <c r="C28" i="33"/>
  <c r="G77" i="34"/>
  <c r="G53" i="34"/>
  <c r="H73" i="33"/>
  <c r="J32" i="33"/>
  <c r="G41" i="33"/>
  <c r="G65" i="33"/>
  <c r="G38" i="34"/>
  <c r="H70" i="34"/>
  <c r="H66" i="34"/>
  <c r="I31" i="34"/>
  <c r="J70" i="34"/>
  <c r="G67" i="34"/>
  <c r="H75" i="34"/>
  <c r="G45" i="33"/>
  <c r="C30" i="34"/>
  <c r="G68" i="34"/>
  <c r="C34" i="34"/>
  <c r="G42" i="33"/>
  <c r="H72" i="34"/>
  <c r="G3" i="34"/>
  <c r="G35" i="34"/>
  <c r="J72" i="34"/>
  <c r="G36" i="34"/>
  <c r="I32" i="33"/>
  <c r="J46" i="33"/>
  <c r="H77" i="33"/>
  <c r="I71" i="34"/>
  <c r="G49" i="33"/>
  <c r="C3" i="34"/>
  <c r="G46" i="34"/>
  <c r="H74" i="34"/>
  <c r="C35" i="33"/>
  <c r="G39" i="33"/>
  <c r="J42" i="33"/>
  <c r="J74" i="34"/>
  <c r="J35" i="34"/>
  <c r="C32" i="33"/>
  <c r="G40" i="33"/>
  <c r="J36" i="33"/>
  <c r="H3" i="33"/>
  <c r="G60" i="34"/>
  <c r="G33" i="34"/>
  <c r="I73" i="34"/>
  <c r="G57" i="33"/>
  <c r="G72" i="33"/>
  <c r="H76" i="34"/>
  <c r="I70" i="34"/>
  <c r="G43" i="34"/>
  <c r="G34" i="33"/>
  <c r="J76" i="33"/>
  <c r="G31" i="35"/>
  <c r="G31" i="39" s="1"/>
  <c r="H31" i="35"/>
  <c r="H31" i="39" s="1"/>
  <c r="G52" i="35"/>
  <c r="G52" i="39" s="1"/>
  <c r="G47" i="35"/>
  <c r="G47" i="39" s="1"/>
  <c r="H64" i="33"/>
  <c r="H39" i="35"/>
  <c r="H39" i="39" s="1"/>
  <c r="H53" i="35"/>
  <c r="H53" i="39" s="1"/>
  <c r="H57" i="35"/>
  <c r="H57" i="39" s="1"/>
  <c r="H55" i="34"/>
  <c r="H37" i="33"/>
  <c r="H39" i="34"/>
  <c r="H34" i="34"/>
  <c r="H60" i="34"/>
  <c r="H38" i="34"/>
  <c r="H65" i="33"/>
  <c r="H50" i="33"/>
  <c r="G54" i="33"/>
  <c r="H63" i="34"/>
  <c r="H48" i="34"/>
  <c r="H44" i="34"/>
  <c r="H62" i="34"/>
  <c r="H51" i="33"/>
  <c r="H53" i="34"/>
  <c r="H41" i="34"/>
  <c r="H37" i="35"/>
  <c r="H37" i="39" s="1"/>
  <c r="H60" i="35"/>
  <c r="H60" i="39" s="1"/>
  <c r="H78" i="29"/>
  <c r="H78" i="34"/>
  <c r="H78" i="28"/>
  <c r="H78" i="33"/>
  <c r="H78" i="30"/>
  <c r="J78" i="29"/>
  <c r="J78" i="34"/>
  <c r="J78" i="28"/>
  <c r="J78" i="33"/>
  <c r="J78" i="30"/>
  <c r="H51" i="35"/>
  <c r="H51" i="39" s="1"/>
  <c r="H62" i="35"/>
  <c r="H62" i="39" s="1"/>
  <c r="I78" i="29"/>
  <c r="I78" i="34"/>
  <c r="I78" i="28"/>
  <c r="I78" i="33"/>
  <c r="I78" i="30"/>
  <c r="G78" i="30"/>
  <c r="G78" i="33"/>
  <c r="G78" i="29"/>
  <c r="G78" i="34"/>
  <c r="G78" i="28"/>
  <c r="H42" i="35"/>
  <c r="H42" i="39" s="1"/>
  <c r="H58" i="35"/>
  <c r="H58" i="39" s="1"/>
  <c r="H43" i="33"/>
  <c r="I51" i="34"/>
  <c r="H7" i="34"/>
  <c r="H7" i="33"/>
  <c r="C45" i="34"/>
  <c r="C45" i="33"/>
  <c r="E65" i="34"/>
  <c r="E65" i="33"/>
  <c r="J68" i="34"/>
  <c r="J68" i="33"/>
  <c r="G8" i="34"/>
  <c r="G8" i="33"/>
  <c r="H11" i="33"/>
  <c r="H11" i="34"/>
  <c r="I59" i="34"/>
  <c r="I59" i="33"/>
  <c r="G20" i="33"/>
  <c r="G20" i="34"/>
  <c r="E46" i="34"/>
  <c r="E46" i="33"/>
  <c r="I65" i="34"/>
  <c r="I65" i="33"/>
  <c r="F49" i="34"/>
  <c r="F49" i="33"/>
  <c r="F33" i="34"/>
  <c r="F33" i="33"/>
  <c r="J66" i="34"/>
  <c r="J66" i="33"/>
  <c r="G31" i="34"/>
  <c r="G31" i="33"/>
  <c r="I35" i="34"/>
  <c r="I35" i="33"/>
  <c r="E57" i="34"/>
  <c r="E57" i="33"/>
  <c r="F60" i="34"/>
  <c r="F60" i="33"/>
  <c r="E74" i="34"/>
  <c r="E74" i="33"/>
  <c r="H12" i="33"/>
  <c r="H12" i="34"/>
  <c r="E29" i="34"/>
  <c r="E29" i="33"/>
  <c r="I63" i="34"/>
  <c r="I63" i="33"/>
  <c r="G70" i="34"/>
  <c r="G70" i="33"/>
  <c r="E54" i="34"/>
  <c r="E54" i="33"/>
  <c r="F74" i="34"/>
  <c r="F74" i="33"/>
  <c r="E58" i="34"/>
  <c r="E58" i="33"/>
  <c r="E71" i="34"/>
  <c r="E71" i="33"/>
  <c r="C75" i="34"/>
  <c r="C75" i="33"/>
  <c r="I30" i="33"/>
  <c r="I30" i="34"/>
  <c r="C66" i="34"/>
  <c r="C66" i="33"/>
  <c r="J64" i="34"/>
  <c r="J64" i="33"/>
  <c r="H20" i="33"/>
  <c r="H20" i="34"/>
  <c r="G27" i="33"/>
  <c r="G27" i="34"/>
  <c r="G10" i="34"/>
  <c r="G10" i="33"/>
  <c r="C60" i="34"/>
  <c r="C60" i="33"/>
  <c r="H22" i="34"/>
  <c r="H22" i="33"/>
  <c r="F53" i="34"/>
  <c r="F53" i="33"/>
  <c r="C6" i="34"/>
  <c r="C6" i="33"/>
  <c r="F57" i="34"/>
  <c r="F57" i="33"/>
  <c r="H57" i="34"/>
  <c r="H57" i="33"/>
  <c r="F69" i="34"/>
  <c r="F69" i="33"/>
  <c r="D53" i="34"/>
  <c r="D53" i="33"/>
  <c r="H32" i="33"/>
  <c r="H32" i="34"/>
  <c r="I5" i="34"/>
  <c r="I5" i="33"/>
  <c r="F43" i="34"/>
  <c r="F43" i="33"/>
  <c r="H19" i="34"/>
  <c r="H19" i="33"/>
  <c r="E63" i="34"/>
  <c r="E63" i="33"/>
  <c r="H8" i="33"/>
  <c r="H8" i="34"/>
  <c r="C62" i="34"/>
  <c r="C62" i="33"/>
  <c r="I64" i="34"/>
  <c r="I64" i="33"/>
  <c r="I17" i="34"/>
  <c r="I17" i="33"/>
  <c r="I56" i="34"/>
  <c r="I56" i="33"/>
  <c r="D52" i="34"/>
  <c r="D52" i="33"/>
  <c r="C57" i="34"/>
  <c r="C57" i="33"/>
  <c r="F42" i="33"/>
  <c r="F42" i="34"/>
  <c r="G12" i="33"/>
  <c r="G12" i="34"/>
  <c r="E31" i="33"/>
  <c r="E31" i="34"/>
  <c r="F4" i="34"/>
  <c r="F4" i="33"/>
  <c r="F48" i="34"/>
  <c r="F48" i="33"/>
  <c r="F25" i="34"/>
  <c r="F25" i="33"/>
  <c r="E76" i="34"/>
  <c r="E76" i="33"/>
  <c r="G23" i="34"/>
  <c r="G23" i="33"/>
  <c r="C71" i="34"/>
  <c r="C71" i="33"/>
  <c r="F50" i="34"/>
  <c r="F50" i="33"/>
  <c r="G28" i="33"/>
  <c r="G28" i="34"/>
  <c r="J62" i="34"/>
  <c r="J62" i="33"/>
  <c r="I22" i="34"/>
  <c r="I22" i="33"/>
  <c r="E55" i="34"/>
  <c r="E55" i="33"/>
  <c r="F40" i="34"/>
  <c r="F40" i="33"/>
  <c r="E32" i="34"/>
  <c r="E32" i="33"/>
  <c r="D55" i="34"/>
  <c r="D55" i="33"/>
  <c r="D73" i="34"/>
  <c r="D73" i="33"/>
  <c r="F63" i="34"/>
  <c r="F63" i="33"/>
  <c r="I23" i="33"/>
  <c r="I23" i="34"/>
  <c r="H30" i="34"/>
  <c r="H30" i="33"/>
  <c r="H16" i="33"/>
  <c r="H16" i="34"/>
  <c r="D68" i="34"/>
  <c r="D68" i="33"/>
  <c r="F26" i="34"/>
  <c r="F26" i="33"/>
  <c r="F52" i="33"/>
  <c r="F52" i="34"/>
  <c r="H46" i="34"/>
  <c r="H46" i="33"/>
  <c r="D71" i="34"/>
  <c r="D71" i="33"/>
  <c r="J54" i="34"/>
  <c r="J54" i="33"/>
  <c r="F34" i="33"/>
  <c r="F34" i="34"/>
  <c r="E43" i="34"/>
  <c r="E43" i="33"/>
  <c r="E52" i="34"/>
  <c r="E52" i="33"/>
  <c r="H40" i="34"/>
  <c r="H40" i="33"/>
  <c r="F72" i="34"/>
  <c r="F72" i="33"/>
  <c r="E56" i="34"/>
  <c r="E56" i="33"/>
  <c r="D62" i="34"/>
  <c r="D62" i="33"/>
  <c r="H45" i="34"/>
  <c r="H45" i="33"/>
  <c r="F44" i="34"/>
  <c r="F44" i="33"/>
  <c r="I67" i="34"/>
  <c r="I67" i="33"/>
  <c r="E67" i="34"/>
  <c r="E67" i="33"/>
  <c r="J65" i="34"/>
  <c r="J65" i="33"/>
  <c r="G25" i="33"/>
  <c r="G25" i="34"/>
  <c r="J61" i="34"/>
  <c r="J61" i="33"/>
  <c r="C53" i="34"/>
  <c r="C53" i="33"/>
  <c r="F54" i="34"/>
  <c r="F54" i="33"/>
  <c r="H21" i="34"/>
  <c r="H21" i="33"/>
  <c r="C59" i="34"/>
  <c r="C59" i="33"/>
  <c r="I12" i="34"/>
  <c r="I12" i="33"/>
  <c r="C48" i="34"/>
  <c r="C48" i="33"/>
  <c r="D46" i="34"/>
  <c r="D46" i="33"/>
  <c r="E28" i="34"/>
  <c r="E28" i="33"/>
  <c r="G4" i="34"/>
  <c r="G4" i="33"/>
  <c r="G26" i="34"/>
  <c r="G26" i="33"/>
  <c r="E40" i="34"/>
  <c r="E40" i="33"/>
  <c r="I39" i="33"/>
  <c r="I39" i="34"/>
  <c r="F71" i="34"/>
  <c r="F71" i="33"/>
  <c r="I7" i="34"/>
  <c r="I7" i="33"/>
  <c r="F36" i="34"/>
  <c r="F36" i="33"/>
  <c r="D57" i="34"/>
  <c r="D57" i="33"/>
  <c r="D72" i="34"/>
  <c r="D72" i="33"/>
  <c r="D66" i="34"/>
  <c r="D66" i="33"/>
  <c r="D54" i="34"/>
  <c r="D54" i="33"/>
  <c r="C68" i="34"/>
  <c r="C68" i="33"/>
  <c r="E26" i="33"/>
  <c r="E26" i="34"/>
  <c r="I18" i="33"/>
  <c r="I18" i="34"/>
  <c r="G9" i="34"/>
  <c r="G9" i="33"/>
  <c r="H15" i="34"/>
  <c r="H15" i="33"/>
  <c r="H10" i="34"/>
  <c r="H10" i="33"/>
  <c r="J48" i="34"/>
  <c r="J48" i="33"/>
  <c r="E53" i="34"/>
  <c r="E53" i="33"/>
  <c r="F31" i="34"/>
  <c r="F31" i="33"/>
  <c r="F65" i="34"/>
  <c r="F65" i="33"/>
  <c r="I27" i="33"/>
  <c r="I27" i="34"/>
  <c r="E68" i="34"/>
  <c r="E68" i="33"/>
  <c r="G37" i="33"/>
  <c r="I29" i="34"/>
  <c r="I29" i="33"/>
  <c r="J56" i="34"/>
  <c r="J56" i="33"/>
  <c r="C74" i="34"/>
  <c r="C74" i="33"/>
  <c r="E50" i="34"/>
  <c r="E50" i="33"/>
  <c r="G29" i="33"/>
  <c r="G29" i="34"/>
  <c r="F55" i="33"/>
  <c r="F55" i="34"/>
  <c r="C70" i="34"/>
  <c r="C70" i="33"/>
  <c r="G71" i="33"/>
  <c r="E64" i="34"/>
  <c r="E64" i="33"/>
  <c r="G21" i="33"/>
  <c r="G21" i="34"/>
  <c r="I20" i="34"/>
  <c r="I20" i="33"/>
  <c r="H4" i="33"/>
  <c r="H4" i="34"/>
  <c r="F56" i="34"/>
  <c r="F56" i="33"/>
  <c r="D47" i="33"/>
  <c r="D47" i="34"/>
  <c r="E75" i="34"/>
  <c r="E75" i="33"/>
  <c r="H17" i="34"/>
  <c r="H17" i="33"/>
  <c r="E69" i="34"/>
  <c r="E69" i="33"/>
  <c r="C58" i="34"/>
  <c r="C58" i="33"/>
  <c r="G15" i="34"/>
  <c r="G15" i="33"/>
  <c r="C65" i="34"/>
  <c r="C65" i="33"/>
  <c r="F6" i="34"/>
  <c r="F6" i="33"/>
  <c r="J58" i="34"/>
  <c r="J58" i="33"/>
  <c r="F38" i="34"/>
  <c r="F38" i="33"/>
  <c r="I14" i="34"/>
  <c r="I14" i="33"/>
  <c r="E48" i="33"/>
  <c r="E48" i="34"/>
  <c r="C34" i="33"/>
  <c r="I32" i="34"/>
  <c r="G14" i="33"/>
  <c r="G14" i="34"/>
  <c r="G17" i="33"/>
  <c r="G17" i="34"/>
  <c r="I16" i="34"/>
  <c r="I16" i="33"/>
  <c r="C77" i="34"/>
  <c r="C77" i="33"/>
  <c r="E38" i="34"/>
  <c r="E38" i="33"/>
  <c r="I11" i="33"/>
  <c r="I11" i="34"/>
  <c r="I60" i="34"/>
  <c r="I60" i="33"/>
  <c r="E51" i="34"/>
  <c r="E51" i="33"/>
  <c r="D75" i="34"/>
  <c r="D75" i="33"/>
  <c r="C54" i="34"/>
  <c r="C54" i="33"/>
  <c r="F27" i="34"/>
  <c r="F27" i="33"/>
  <c r="C50" i="33"/>
  <c r="C50" i="34"/>
  <c r="I4" i="34"/>
  <c r="I4" i="33"/>
  <c r="I61" i="34"/>
  <c r="I61" i="33"/>
  <c r="G19" i="34"/>
  <c r="G19" i="33"/>
  <c r="D48" i="34"/>
  <c r="D48" i="33"/>
  <c r="J60" i="34"/>
  <c r="J60" i="33"/>
  <c r="E41" i="34"/>
  <c r="E41" i="33"/>
  <c r="E49" i="34"/>
  <c r="E49" i="33"/>
  <c r="F39" i="34"/>
  <c r="F39" i="33"/>
  <c r="I66" i="33"/>
  <c r="E45" i="34"/>
  <c r="E45" i="33"/>
  <c r="D64" i="34"/>
  <c r="D64" i="33"/>
  <c r="F46" i="33"/>
  <c r="F46" i="34"/>
  <c r="D56" i="34"/>
  <c r="D56" i="33"/>
  <c r="D67" i="34"/>
  <c r="D67" i="33"/>
  <c r="J67" i="34"/>
  <c r="J67" i="33"/>
  <c r="J50" i="34"/>
  <c r="J50" i="33"/>
  <c r="C55" i="34"/>
  <c r="C55" i="33"/>
  <c r="E35" i="34"/>
  <c r="E35" i="33"/>
  <c r="F68" i="34"/>
  <c r="F68" i="33"/>
  <c r="H26" i="34"/>
  <c r="H26" i="33"/>
  <c r="D74" i="34"/>
  <c r="D74" i="33"/>
  <c r="F59" i="34"/>
  <c r="F59" i="33"/>
  <c r="C46" i="34"/>
  <c r="C46" i="33"/>
  <c r="C49" i="34"/>
  <c r="C49" i="33"/>
  <c r="E27" i="34"/>
  <c r="E27" i="33"/>
  <c r="D45" i="34"/>
  <c r="D45" i="33"/>
  <c r="E73" i="34"/>
  <c r="E73" i="33"/>
  <c r="F37" i="33"/>
  <c r="F37" i="34"/>
  <c r="F62" i="34"/>
  <c r="F62" i="33"/>
  <c r="C76" i="34"/>
  <c r="C76" i="33"/>
  <c r="F32" i="34"/>
  <c r="F32" i="33"/>
  <c r="E42" i="34"/>
  <c r="E42" i="33"/>
  <c r="I13" i="34"/>
  <c r="I13" i="33"/>
  <c r="E70" i="34"/>
  <c r="E70" i="33"/>
  <c r="C67" i="34"/>
  <c r="C67" i="33"/>
  <c r="J75" i="34"/>
  <c r="J75" i="33"/>
  <c r="I25" i="34"/>
  <c r="I25" i="33"/>
  <c r="E59" i="34"/>
  <c r="E59" i="33"/>
  <c r="F47" i="34"/>
  <c r="F47" i="33"/>
  <c r="H25" i="34"/>
  <c r="H25" i="33"/>
  <c r="J55" i="34"/>
  <c r="J55" i="33"/>
  <c r="C72" i="34"/>
  <c r="C72" i="33"/>
  <c r="D49" i="34"/>
  <c r="D49" i="33"/>
  <c r="H24" i="33"/>
  <c r="H24" i="34"/>
  <c r="F58" i="34"/>
  <c r="F58" i="33"/>
  <c r="C56" i="34"/>
  <c r="C56" i="33"/>
  <c r="D65" i="34"/>
  <c r="D65" i="33"/>
  <c r="D59" i="34"/>
  <c r="D59" i="33"/>
  <c r="J59" i="34"/>
  <c r="J59" i="33"/>
  <c r="D69" i="34"/>
  <c r="D69" i="33"/>
  <c r="J73" i="33"/>
  <c r="F76" i="34"/>
  <c r="F76" i="33"/>
  <c r="I69" i="33"/>
  <c r="I69" i="34"/>
  <c r="E34" i="33"/>
  <c r="E34" i="34"/>
  <c r="D50" i="34"/>
  <c r="D50" i="33"/>
  <c r="F70" i="34"/>
  <c r="F70" i="33"/>
  <c r="E62" i="34"/>
  <c r="E62" i="33"/>
  <c r="G30" i="33"/>
  <c r="G30" i="34"/>
  <c r="G62" i="34"/>
  <c r="G62" i="33"/>
  <c r="E72" i="34"/>
  <c r="E72" i="33"/>
  <c r="G11" i="34"/>
  <c r="G11" i="33"/>
  <c r="C63" i="34"/>
  <c r="C63" i="33"/>
  <c r="F41" i="34"/>
  <c r="F41" i="33"/>
  <c r="I37" i="34"/>
  <c r="I37" i="33"/>
  <c r="G18" i="34"/>
  <c r="G18" i="33"/>
  <c r="H23" i="34"/>
  <c r="H23" i="33"/>
  <c r="C69" i="34"/>
  <c r="C69" i="33"/>
  <c r="D6" i="33"/>
  <c r="D6" i="34"/>
  <c r="H61" i="34"/>
  <c r="J43" i="34"/>
  <c r="J43" i="33"/>
  <c r="G22" i="33"/>
  <c r="G22" i="34"/>
  <c r="I26" i="33"/>
  <c r="I26" i="34"/>
  <c r="I21" i="34"/>
  <c r="I21" i="33"/>
  <c r="E60" i="34"/>
  <c r="E60" i="33"/>
  <c r="G32" i="33"/>
  <c r="G32" i="34"/>
  <c r="E77" i="33"/>
  <c r="E77" i="34"/>
  <c r="C47" i="34"/>
  <c r="C47" i="33"/>
  <c r="E25" i="34"/>
  <c r="E25" i="33"/>
  <c r="C73" i="34"/>
  <c r="C73" i="33"/>
  <c r="I54" i="34"/>
  <c r="I54" i="33"/>
  <c r="J63" i="34"/>
  <c r="J63" i="33"/>
  <c r="I24" i="34"/>
  <c r="I24" i="33"/>
  <c r="I40" i="34"/>
  <c r="I40" i="33"/>
  <c r="H5" i="33"/>
  <c r="H5" i="34"/>
  <c r="E37" i="34"/>
  <c r="E37" i="33"/>
  <c r="I28" i="34"/>
  <c r="I28" i="33"/>
  <c r="C64" i="34"/>
  <c r="C64" i="33"/>
  <c r="H18" i="34"/>
  <c r="H18" i="33"/>
  <c r="E30" i="33"/>
  <c r="E30" i="34"/>
  <c r="I36" i="34"/>
  <c r="I36" i="33"/>
  <c r="I19" i="33"/>
  <c r="I19" i="34"/>
  <c r="E66" i="34"/>
  <c r="E66" i="33"/>
  <c r="H6" i="34"/>
  <c r="H6" i="33"/>
  <c r="E61" i="33"/>
  <c r="E61" i="34"/>
  <c r="G33" i="33"/>
  <c r="G6" i="33"/>
  <c r="G6" i="34"/>
  <c r="C61" i="34"/>
  <c r="C61" i="33"/>
  <c r="D61" i="34"/>
  <c r="D61" i="33"/>
  <c r="J33" i="33"/>
  <c r="J33" i="34"/>
  <c r="C51" i="34"/>
  <c r="C51" i="33"/>
  <c r="G73" i="33"/>
  <c r="F73" i="34"/>
  <c r="F73" i="33"/>
  <c r="I46" i="34"/>
  <c r="I46" i="33"/>
  <c r="F67" i="34"/>
  <c r="F67" i="33"/>
  <c r="H28" i="34"/>
  <c r="H28" i="33"/>
  <c r="F28" i="34"/>
  <c r="F28" i="33"/>
  <c r="F5" i="34"/>
  <c r="F5" i="33"/>
  <c r="E39" i="34"/>
  <c r="E39" i="33"/>
  <c r="D58" i="34"/>
  <c r="D58" i="33"/>
  <c r="G24" i="33"/>
  <c r="G24" i="34"/>
  <c r="C33" i="34"/>
  <c r="C33" i="33"/>
  <c r="F29" i="34"/>
  <c r="F29" i="33"/>
  <c r="G58" i="34"/>
  <c r="G58" i="33"/>
  <c r="G16" i="33"/>
  <c r="G16" i="34"/>
  <c r="F66" i="34"/>
  <c r="F66" i="33"/>
  <c r="H27" i="33"/>
  <c r="H27" i="34"/>
  <c r="H31" i="33"/>
  <c r="H31" i="34"/>
  <c r="F45" i="33"/>
  <c r="F45" i="34"/>
  <c r="D76" i="34"/>
  <c r="D76" i="33"/>
  <c r="D60" i="34"/>
  <c r="D60" i="33"/>
  <c r="F75" i="34"/>
  <c r="F75" i="33"/>
  <c r="D77" i="34"/>
  <c r="D77" i="33"/>
  <c r="E47" i="34"/>
  <c r="E47" i="33"/>
  <c r="F77" i="34"/>
  <c r="F77" i="33"/>
  <c r="F61" i="34"/>
  <c r="F61" i="33"/>
  <c r="D63" i="34"/>
  <c r="D63" i="33"/>
  <c r="J45" i="33"/>
  <c r="J45" i="34"/>
  <c r="F51" i="33"/>
  <c r="F51" i="34"/>
  <c r="H29" i="34"/>
  <c r="H29" i="33"/>
  <c r="C52" i="34"/>
  <c r="C52" i="33"/>
  <c r="J51" i="33"/>
  <c r="J51" i="34"/>
  <c r="F64" i="34"/>
  <c r="F64" i="33"/>
  <c r="E36" i="34"/>
  <c r="E36" i="33"/>
  <c r="D70" i="34"/>
  <c r="D70" i="33"/>
  <c r="J53" i="34"/>
  <c r="J53" i="33"/>
  <c r="E44" i="34"/>
  <c r="E44" i="33"/>
  <c r="E33" i="34"/>
  <c r="E33" i="33"/>
  <c r="G13" i="33"/>
  <c r="G13" i="34"/>
  <c r="F35" i="34"/>
  <c r="F35" i="33"/>
  <c r="G7" i="34"/>
  <c r="G7" i="33"/>
  <c r="D51" i="34"/>
  <c r="D51" i="33"/>
  <c r="G5" i="33"/>
  <c r="G5" i="34"/>
  <c r="I50" i="34"/>
  <c r="I50" i="33"/>
  <c r="F30" i="34"/>
  <c r="F30" i="33"/>
  <c r="F3" i="33"/>
  <c r="F3" i="34"/>
  <c r="I71" i="33" l="1"/>
  <c r="G69" i="33"/>
  <c r="H59" i="33"/>
  <c r="I72" i="33"/>
  <c r="H50" i="34"/>
  <c r="J34" i="34"/>
  <c r="H49" i="33"/>
  <c r="G64" i="34"/>
  <c r="J38" i="33"/>
  <c r="G59" i="33"/>
  <c r="H68" i="34"/>
  <c r="G63" i="34"/>
  <c r="J77" i="34"/>
  <c r="J71" i="33"/>
  <c r="H67" i="34"/>
  <c r="G42" i="34"/>
  <c r="J36" i="34"/>
  <c r="G65" i="34"/>
  <c r="J37" i="34"/>
  <c r="G75" i="33"/>
  <c r="H51" i="34"/>
  <c r="I33" i="33"/>
  <c r="G46" i="33"/>
  <c r="J74" i="33"/>
  <c r="G45" i="34"/>
  <c r="G53" i="33"/>
  <c r="H77" i="34"/>
  <c r="G57" i="34"/>
  <c r="C28" i="34"/>
  <c r="J39" i="34"/>
  <c r="I74" i="33"/>
  <c r="G38" i="33"/>
  <c r="C31" i="33"/>
  <c r="G44" i="34"/>
  <c r="C4" i="34"/>
  <c r="H72" i="33"/>
  <c r="G72" i="34"/>
  <c r="H37" i="34"/>
  <c r="G34" i="34"/>
  <c r="H64" i="34"/>
  <c r="G50" i="33"/>
  <c r="H70" i="33"/>
  <c r="H69" i="34"/>
  <c r="H33" i="33"/>
  <c r="I77" i="34"/>
  <c r="H58" i="33"/>
  <c r="J76" i="34"/>
  <c r="H73" i="34"/>
  <c r="J42" i="34"/>
  <c r="J41" i="34"/>
  <c r="G41" i="34"/>
  <c r="H44" i="33"/>
  <c r="H76" i="33"/>
  <c r="J44" i="33"/>
  <c r="I75" i="33"/>
  <c r="H75" i="33"/>
  <c r="G66" i="33"/>
  <c r="G47" i="33"/>
  <c r="I70" i="33"/>
  <c r="J35" i="33"/>
  <c r="H38" i="33"/>
  <c r="G76" i="33"/>
  <c r="G67" i="33"/>
  <c r="J72" i="33"/>
  <c r="G52" i="34"/>
  <c r="I76" i="34"/>
  <c r="H55" i="33"/>
  <c r="G35" i="33"/>
  <c r="H48" i="33"/>
  <c r="C35" i="34"/>
  <c r="H34" i="33"/>
  <c r="G40" i="34"/>
  <c r="G43" i="33"/>
  <c r="J40" i="33"/>
  <c r="G51" i="34"/>
  <c r="H71" i="33"/>
  <c r="G68" i="33"/>
  <c r="G74" i="34"/>
  <c r="H53" i="33"/>
  <c r="H39" i="33"/>
  <c r="G39" i="34"/>
  <c r="C32" i="34"/>
  <c r="I68" i="34"/>
  <c r="J70" i="33"/>
  <c r="G55" i="33"/>
  <c r="G56" i="33"/>
  <c r="G48" i="33"/>
  <c r="G77" i="33"/>
  <c r="G61" i="34"/>
  <c r="H65" i="34"/>
  <c r="J32" i="34"/>
  <c r="G49" i="34"/>
  <c r="H66" i="33"/>
  <c r="I73" i="33"/>
  <c r="C30" i="33"/>
  <c r="G60" i="33"/>
  <c r="G36" i="33"/>
  <c r="J69" i="33"/>
  <c r="H62" i="33"/>
  <c r="G54" i="34"/>
  <c r="H42" i="33"/>
  <c r="J46" i="34"/>
  <c r="H60" i="33"/>
  <c r="C26" i="33"/>
  <c r="H74" i="33"/>
  <c r="G3" i="33"/>
  <c r="H41" i="33"/>
  <c r="H3" i="34"/>
  <c r="C3" i="33"/>
  <c r="J23" i="34"/>
  <c r="J23" i="33"/>
  <c r="J4" i="33"/>
  <c r="J4" i="34"/>
  <c r="J30" i="34"/>
  <c r="J30" i="33"/>
  <c r="J12" i="34"/>
  <c r="J12" i="33"/>
  <c r="J11" i="34"/>
  <c r="J11" i="33"/>
  <c r="J17" i="34"/>
  <c r="J17" i="33"/>
  <c r="J26" i="33"/>
  <c r="J26" i="34"/>
  <c r="J13" i="34"/>
  <c r="J13" i="33"/>
  <c r="J31" i="34"/>
  <c r="J31" i="33"/>
  <c r="J27" i="34"/>
  <c r="J27" i="33"/>
  <c r="J22" i="33"/>
  <c r="J22" i="34"/>
  <c r="J18" i="34"/>
  <c r="J18" i="33"/>
  <c r="J29" i="34"/>
  <c r="J29" i="33"/>
  <c r="J21" i="34"/>
  <c r="J21" i="33"/>
  <c r="J28" i="34"/>
  <c r="J28" i="33"/>
  <c r="J14" i="33"/>
  <c r="J14" i="34"/>
  <c r="J7" i="34"/>
  <c r="J7" i="33"/>
  <c r="J6" i="34"/>
  <c r="J6" i="33"/>
  <c r="J19" i="34"/>
  <c r="J19" i="33"/>
  <c r="J3" i="33"/>
  <c r="J24" i="34"/>
  <c r="J24" i="33"/>
  <c r="J25" i="34"/>
  <c r="J25" i="33"/>
  <c r="J16" i="34"/>
  <c r="J16" i="33"/>
  <c r="J5" i="34"/>
  <c r="J5" i="33"/>
  <c r="J20" i="34"/>
  <c r="J20" i="33"/>
  <c r="J15" i="33"/>
  <c r="J15" i="34"/>
  <c r="H63" i="33"/>
  <c r="H43" i="34"/>
  <c r="I51" i="33"/>
  <c r="C40" i="34"/>
  <c r="C40" i="33"/>
  <c r="C37" i="34"/>
  <c r="C37" i="33"/>
  <c r="C25" i="33"/>
  <c r="C25" i="34"/>
  <c r="C41" i="34"/>
  <c r="C41" i="33"/>
  <c r="C39" i="34"/>
  <c r="C39" i="33"/>
  <c r="C42" i="34"/>
  <c r="C42" i="33"/>
  <c r="C38" i="34"/>
  <c r="C38" i="33"/>
  <c r="C36" i="34"/>
  <c r="C36" i="33"/>
  <c r="H14" i="34"/>
  <c r="H14" i="33"/>
  <c r="D44" i="33"/>
  <c r="D44" i="34"/>
  <c r="C43" i="34"/>
  <c r="C43" i="33"/>
  <c r="C5" i="33"/>
  <c r="C5" i="34"/>
  <c r="C44" i="34"/>
  <c r="C44" i="33"/>
  <c r="D25" i="34"/>
  <c r="D25" i="33"/>
  <c r="H13" i="34"/>
  <c r="H13" i="33"/>
  <c r="G47" i="34" l="1"/>
  <c r="G52" i="33"/>
  <c r="C29" i="33"/>
  <c r="C29" i="34"/>
  <c r="C27" i="34"/>
  <c r="C27" i="33"/>
  <c r="H52" i="35"/>
  <c r="H52" i="39" s="1"/>
  <c r="H47" i="35"/>
  <c r="H47" i="39" s="1"/>
  <c r="H35" i="34"/>
  <c r="H35" i="33"/>
  <c r="H36" i="34"/>
  <c r="H36" i="33"/>
  <c r="H56" i="34"/>
  <c r="H56" i="33"/>
  <c r="H54" i="34"/>
  <c r="H54" i="33"/>
  <c r="H47" i="34"/>
  <c r="H47" i="33"/>
  <c r="H52" i="34"/>
  <c r="H52" i="33"/>
  <c r="H9" i="34"/>
  <c r="H9" i="33"/>
  <c r="J9" i="34" l="1"/>
  <c r="J9" i="33"/>
</calcChain>
</file>

<file path=xl/sharedStrings.xml><?xml version="1.0" encoding="utf-8"?>
<sst xmlns="http://schemas.openxmlformats.org/spreadsheetml/2006/main" count="530" uniqueCount="237">
  <si>
    <t>RADIO_Transmit</t>
  </si>
  <si>
    <t>RADIO_Init</t>
  </si>
  <si>
    <t>RADIO_RxFSKTimeout</t>
  </si>
  <si>
    <t>callback</t>
  </si>
  <si>
    <t>RADIO_WatchdogTimeout</t>
  </si>
  <si>
    <t>TIME_ON_AIR_LOAD_VALUE</t>
  </si>
  <si>
    <t>RADIO_RxDone</t>
  </si>
  <si>
    <t>buffer</t>
  </si>
  <si>
    <t>bufferLength</t>
  </si>
  <si>
    <t>LoRa_Idle</t>
  </si>
  <si>
    <t>LoRa_Handshaking_timeout</t>
  </si>
  <si>
    <t>LoRa_transmit_Error</t>
  </si>
  <si>
    <t>LoRa_TimerHandshakingCallback</t>
  </si>
  <si>
    <t>LoRa_TxDone</t>
  </si>
  <si>
    <t>timeOnAir</t>
  </si>
  <si>
    <t>uint16_t</t>
  </si>
  <si>
    <t>LoRa_Send</t>
  </si>
  <si>
    <t>LoRa_Handshaking_TX</t>
  </si>
  <si>
    <t>LoRa_Handshaking_RX</t>
  </si>
  <si>
    <t>LoRa_RxDone</t>
  </si>
  <si>
    <t>uint8_t</t>
  </si>
  <si>
    <t>LoRa_Addres</t>
  </si>
  <si>
    <t>LoRa_TimerHandshaking</t>
  </si>
  <si>
    <t>LoRa_TimerWaitAck</t>
  </si>
  <si>
    <t>LoRa_HeaderBufor</t>
  </si>
  <si>
    <t>LoRa_HeaderLength</t>
  </si>
  <si>
    <t>LoRa_Bufor</t>
  </si>
  <si>
    <t>LoRa_BuforLength</t>
  </si>
  <si>
    <t>LoRa_currentDataRate</t>
  </si>
  <si>
    <t>ReceiveWindowParameters_t</t>
  </si>
  <si>
    <t>ChannelParams_t</t>
  </si>
  <si>
    <t>LoRa_lastUsedChannelIndex</t>
  </si>
  <si>
    <t>LoRaMacState_t</t>
  </si>
  <si>
    <t>LoRa_SendData_TX</t>
  </si>
  <si>
    <t>LoRa_SendData_RX</t>
  </si>
  <si>
    <t>*buffer</t>
  </si>
  <si>
    <t>LoRa_initialised</t>
  </si>
  <si>
    <t>bool</t>
  </si>
  <si>
    <t>LoRa_System_Init</t>
  </si>
  <si>
    <t>ENABLED</t>
  </si>
  <si>
    <t>EU868_CALIBRATION_FREQ</t>
  </si>
  <si>
    <t>ISM_EU868</t>
  </si>
  <si>
    <t>RadioConfiguration_t</t>
  </si>
  <si>
    <t>LoRa_t</t>
  </si>
  <si>
    <t>uint32_t</t>
  </si>
  <si>
    <t>int8_t</t>
  </si>
  <si>
    <t>RadioErrorCodingRate_t</t>
  </si>
  <si>
    <t>RadioFSKShaping_t</t>
  </si>
  <si>
    <t>RadioFSKBandWidth_t</t>
  </si>
  <si>
    <t>RadioModulation_t</t>
  </si>
  <si>
    <t>RadioDataRate_t</t>
  </si>
  <si>
    <t>RadioLoRaBandWidth_t</t>
  </si>
  <si>
    <t>FALSE</t>
  </si>
  <si>
    <t>LoRaDeviceAddress</t>
  </si>
  <si>
    <t>LoRa_TimerWaitAckCallback</t>
  </si>
  <si>
    <t>frequency</t>
  </si>
  <si>
    <t>MODULATION_LORA</t>
  </si>
  <si>
    <t>BW_125KHZ</t>
  </si>
  <si>
    <t>CR_4_5</t>
  </si>
  <si>
    <t>SF_12</t>
  </si>
  <si>
    <t>0xc1 0x94 0xc1</t>
  </si>
  <si>
    <t>0x34</t>
  </si>
  <si>
    <t>WATCHDOG_DEFAULT_TIME</t>
  </si>
  <si>
    <t>FSK_SHAPING_GAUSS_BT_0_5</t>
  </si>
  <si>
    <t>FSKBW_50_0KHZ</t>
  </si>
  <si>
    <t>FSKBW_83_3KHZ</t>
  </si>
  <si>
    <t>0</t>
  </si>
  <si>
    <t>NULL</t>
  </si>
  <si>
    <t>LoRa_Reset</t>
  </si>
  <si>
    <t>LoRa_syncWord</t>
  </si>
  <si>
    <t>LoRa_batteryLevel</t>
  </si>
  <si>
    <t>BATTERY_LEVEL_INVALID</t>
  </si>
  <si>
    <t>IsmBand_t</t>
  </si>
  <si>
    <t>LoRa_ismBand</t>
  </si>
  <si>
    <t>Channels</t>
  </si>
  <si>
    <t>MAX_EU_SINGLE_BAND_CHANNELS</t>
  </si>
  <si>
    <t>LoRa_txPower</t>
  </si>
  <si>
    <t>DR0</t>
  </si>
  <si>
    <t>LoRa_minDataRate</t>
  </si>
  <si>
    <t>LoRa_maxDataRate</t>
  </si>
  <si>
    <t>DR7</t>
  </si>
  <si>
    <t>LoRa_maxChannels</t>
  </si>
  <si>
    <t>bufor</t>
  </si>
  <si>
    <t>sizeof(bufor)</t>
  </si>
  <si>
    <t>void</t>
  </si>
  <si>
    <t>maxPayloadSize[]</t>
  </si>
  <si>
    <t>LoRa_receiveChannelParameters.frequency</t>
  </si>
  <si>
    <t>LoRa_receiveChannelParameters.dataRate</t>
  </si>
  <si>
    <t>LoRa_ch0_params.frequency</t>
  </si>
  <si>
    <t>LoRa_ch0_params.datarate</t>
  </si>
  <si>
    <t>LoRa_CH0_frequency</t>
  </si>
  <si>
    <t>LoRa_CH0_datarate</t>
  </si>
  <si>
    <t>modulation[]</t>
  </si>
  <si>
    <t>DISABLED</t>
  </si>
  <si>
    <t>spreadingFactor[]</t>
  </si>
  <si>
    <t>bandwidth[]</t>
  </si>
  <si>
    <t>txPower868[]</t>
  </si>
  <si>
    <t>txPower868[LoRa_txPower]</t>
  </si>
  <si>
    <t>LoRa_Addres, nxt_channel</t>
  </si>
  <si>
    <t>bufferHeadIndex</t>
  </si>
  <si>
    <t>bufferIndex</t>
  </si>
  <si>
    <t>bufferIndex, nxt_channel, data, CRC</t>
  </si>
  <si>
    <t>watchdogTimerTimeout</t>
  </si>
  <si>
    <t>LoRa_EnterReceive</t>
  </si>
  <si>
    <t>dataBuffer</t>
  </si>
  <si>
    <t>dataBufferLen</t>
  </si>
  <si>
    <t>LoRa_Command</t>
  </si>
  <si>
    <t>LoRa_Transmit_timeout</t>
  </si>
  <si>
    <t>LoRa_Sent</t>
  </si>
  <si>
    <t>LoRa_transmitStatus</t>
  </si>
  <si>
    <t>LoRaStatus_t</t>
  </si>
  <si>
    <t>LoRa_StatusDanych</t>
  </si>
  <si>
    <t>LoRa_transmitIdle</t>
  </si>
  <si>
    <t>LoRa_transmiting</t>
  </si>
  <si>
    <t>FCnt_t</t>
  </si>
  <si>
    <t>LoRa_CreateSoftwareTimers();</t>
  </si>
  <si>
    <t>LoRa_SetCallbackSoftwareTimers();</t>
  </si>
  <si>
    <t>LoRa_radioBuffer</t>
  </si>
  <si>
    <t>LoRa_radioBuffer[]</t>
  </si>
  <si>
    <t>MAXIMUM_BUFFER_LENGTH</t>
  </si>
  <si>
    <t>RADIO_Reset();</t>
  </si>
  <si>
    <t>RADIO</t>
  </si>
  <si>
    <t>mode</t>
  </si>
  <si>
    <t>modulation</t>
  </si>
  <si>
    <t>MODE_SLEEP</t>
  </si>
  <si>
    <t>payload</t>
  </si>
  <si>
    <t>0xff</t>
  </si>
  <si>
    <t>RADIO(REG_VERSION)</t>
  </si>
  <si>
    <t>LoRa_InitDefault868Channels();</t>
  </si>
  <si>
    <t>DefaultChannels868</t>
  </si>
  <si>
    <t>power</t>
  </si>
  <si>
    <t>SpreadingFactor</t>
  </si>
  <si>
    <t>Bandwidth</t>
  </si>
  <si>
    <t>SyncWord</t>
  </si>
  <si>
    <t>CRC</t>
  </si>
  <si>
    <t>IQInverted</t>
  </si>
  <si>
    <t>LoRa_sendChannelParameters.frequency</t>
  </si>
  <si>
    <t>LoRa_sendChannelParameters.dataRate</t>
  </si>
  <si>
    <t>LoRa_Send_Header</t>
  </si>
  <si>
    <t>LoRa_ch0_params.dataRate</t>
  </si>
  <si>
    <t>HopPeriod</t>
  </si>
  <si>
    <t>errorCodingRate</t>
  </si>
  <si>
    <t>implicitHeaderMode</t>
  </si>
  <si>
    <t>symbolTimeout</t>
  </si>
  <si>
    <t>FSKfreqDeviation</t>
  </si>
  <si>
    <t>FSKBitRate</t>
  </si>
  <si>
    <t>FSK_PREAMBLE</t>
  </si>
  <si>
    <t>fskDataShaping</t>
  </si>
  <si>
    <t>RADIO_WriteConfiguration</t>
  </si>
  <si>
    <t>MODE_TX</t>
  </si>
  <si>
    <t>DATA</t>
  </si>
  <si>
    <t>flags</t>
  </si>
  <si>
    <t>RADIO_FLAG_TRANSMITTING</t>
  </si>
  <si>
    <t>RADIO_ReceiveStart</t>
  </si>
  <si>
    <t>RADIO_FLAG_RECEIVING</t>
  </si>
  <si>
    <t>MODE_RXSINGLE</t>
  </si>
  <si>
    <t>LoRa_RxDone_OK</t>
  </si>
  <si>
    <t>LoRa_RxDone_Fail</t>
  </si>
  <si>
    <t>buffer[1]</t>
  </si>
  <si>
    <t>RADIO_RxDone_OK</t>
  </si>
  <si>
    <t>LoRa_Tx_Done</t>
  </si>
  <si>
    <t>LoRa_nextUsedChannel</t>
  </si>
  <si>
    <t>LoRa_Rx_Done_DATA</t>
  </si>
  <si>
    <t>RADIO_SwTimers_stop()</t>
  </si>
  <si>
    <t>LoRa_transmit_OK</t>
  </si>
  <si>
    <t>RADIO_RxDone_Fail</t>
  </si>
  <si>
    <t>LoRa_TimerRetransmit</t>
  </si>
  <si>
    <t>LoRa_TimerRetransmitCallback</t>
  </si>
  <si>
    <t>LoRa_Retransmit_timeout</t>
  </si>
  <si>
    <t>LoRa_Send_Header();</t>
  </si>
  <si>
    <t>channelRx</t>
  </si>
  <si>
    <t>LoRa_Channels[channelRxIndex].frequency</t>
  </si>
  <si>
    <t>frequencyDeviation</t>
  </si>
  <si>
    <t>bitRate</t>
  </si>
  <si>
    <t>preambleLen</t>
  </si>
  <si>
    <t>syncWordLoRa</t>
  </si>
  <si>
    <t>syncWordLen</t>
  </si>
  <si>
    <t>syncWord</t>
  </si>
  <si>
    <t>dataRate</t>
  </si>
  <si>
    <t>bandWidth</t>
  </si>
  <si>
    <t>outputPower</t>
  </si>
  <si>
    <t>crcOn</t>
  </si>
  <si>
    <t>paBoost</t>
  </si>
  <si>
    <t>frequencyHopPeriod</t>
  </si>
  <si>
    <t>iqInverted</t>
  </si>
  <si>
    <t>uint8_t *</t>
  </si>
  <si>
    <t>timeOnAirTimerId</t>
  </si>
  <si>
    <t>fskRxWindowTimerId</t>
  </si>
  <si>
    <t>watchdogTimerId</t>
  </si>
  <si>
    <t>initialized</t>
  </si>
  <si>
    <t>regVersion</t>
  </si>
  <si>
    <t>packetSNR</t>
  </si>
  <si>
    <t>rxBw</t>
  </si>
  <si>
    <t>afcBw</t>
  </si>
  <si>
    <t>LoRa_ConfigureRadio</t>
  </si>
  <si>
    <t>LoRa_ConfigureRadioRx</t>
  </si>
  <si>
    <t>LoRa_Counter</t>
  </si>
  <si>
    <t>modulation[LoRa_receiveChannelParameters.dataRate]</t>
  </si>
  <si>
    <t>modulation[LoRa_ch0_params.dataRate]</t>
  </si>
  <si>
    <t>main</t>
  </si>
  <si>
    <t>LoRa_StopAllSoftwareTimers</t>
  </si>
  <si>
    <t>REG_VERSION</t>
  </si>
  <si>
    <t>fhssNextFrequency</t>
  </si>
  <si>
    <t>XY</t>
  </si>
  <si>
    <t>LoRa_transmit_Fail</t>
  </si>
  <si>
    <t>bufor_len</t>
  </si>
  <si>
    <t>LoRa_SelectChannelForTransmission</t>
  </si>
  <si>
    <t>random(LoRa_Chann_nr)+1</t>
  </si>
  <si>
    <t>LoRa_AssemblePacket</t>
  </si>
  <si>
    <t>LoRa_ConfigureRadioTx</t>
  </si>
  <si>
    <t>spreadingFactor[LoRa_ch0_params.dataRate]</t>
  </si>
  <si>
    <t>bandwidth[LoRa_ch0_params.dataRate]</t>
  </si>
  <si>
    <t>++</t>
  </si>
  <si>
    <t>LoRa_TimerHandshaking_timeout</t>
  </si>
  <si>
    <t>watchdogTimerId_timeout</t>
  </si>
  <si>
    <t>spreadingFactor[LoRa_receiveChannelParameters.dataRate]</t>
  </si>
  <si>
    <t>bandwidth[LoRa_receiveChannelParameters.dataRate]</t>
  </si>
  <si>
    <t>REG_LORA_RXNBBYTES</t>
  </si>
  <si>
    <t>dane</t>
  </si>
  <si>
    <t>~RADIO_FLAG_RXDATA</t>
  </si>
  <si>
    <t>s/fail</t>
  </si>
  <si>
    <t>modulation[LoRa_sendChannelParameters.dataRate]</t>
  </si>
  <si>
    <t>spreadingFactor[LoRa_sendChannelParameters.dataRate]</t>
  </si>
  <si>
    <t>bandwidth[LoRa_sendChannelParameters.dataRate]</t>
  </si>
  <si>
    <t>LoRa_TxDone_DATA</t>
  </si>
  <si>
    <t>LoRa_TimerWaitAck_timeout</t>
  </si>
  <si>
    <t>RADIO_RxDone_DATA</t>
  </si>
  <si>
    <t>2</t>
  </si>
  <si>
    <t>RADIO_FLAG_RXDATA</t>
  </si>
  <si>
    <t>RADIO_FLAG_TIMEOUT</t>
  </si>
  <si>
    <t>XYF</t>
  </si>
  <si>
    <t>1</t>
  </si>
  <si>
    <t>LoRa_Send_problem</t>
  </si>
  <si>
    <t>INVALID_BUFFER_LENGTH</t>
  </si>
  <si>
    <t>XYFl</t>
  </si>
  <si>
    <t>ToDo_LoRa_retransmit</t>
  </si>
  <si>
    <t>ToDo_LoRa_retransmit_radio_configured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</si>
</sst>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CCE699"/>
        <bgColor indexed="64"/>
      </patternFill>
    </fill>
    <fill>
      <patternFill patternType="solid">
        <fgColor rgb="FFCC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FF9B00"/>
        <bgColor indexed="64"/>
      </patternFill>
    </fill>
    <fill>
      <patternFill patternType="solid">
        <fgColor rgb="FFFF3700"/>
        <bgColor indexed="64"/>
      </patternFill>
    </fill>
    <fill>
      <patternFill patternType="solid">
        <fgColor rgb="FFCF9F6F"/>
        <bgColor indexed="64"/>
      </patternFill>
    </fill>
    <fill>
      <patternFill patternType="solid">
        <fgColor rgb="FF7F66CC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4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1" fillId="0" borderId="0" xfId="1"/>
    <xf numFmtId="0" fontId="0" fillId="3" borderId="0" xfId="0" applyFill="1"/>
    <xf numFmtId="0" fontId="0" fillId="0" borderId="0" xfId="0" applyFill="1"/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quotePrefix="1" applyFill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0" fillId="0" borderId="0" xfId="0" quotePrefix="1" applyFill="1" applyAlignment="1">
      <alignment horizontal="center"/>
    </xf>
    <xf numFmtId="0" fontId="0" fillId="2" borderId="0" xfId="0" quotePrefix="1" applyFill="1"/>
    <xf numFmtId="0" fontId="0" fillId="4" borderId="0" xfId="0" quotePrefix="1" applyFill="1" applyAlignment="1">
      <alignment horizontal="center"/>
    </xf>
    <xf numFmtId="0" fontId="0" fillId="5" borderId="0" xfId="0" quotePrefix="1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5" borderId="0" xfId="1" applyFill="1"/>
    <xf numFmtId="0" fontId="1" fillId="0" borderId="4" xfId="1" applyBorder="1"/>
    <xf numFmtId="0" fontId="0" fillId="2" borderId="0" xfId="0" applyFill="1" applyBorder="1"/>
    <xf numFmtId="0" fontId="0" fillId="2" borderId="5" xfId="0" applyFill="1" applyBorder="1"/>
    <xf numFmtId="0" fontId="0" fillId="6" borderId="0" xfId="0" applyFill="1" applyBorder="1"/>
    <xf numFmtId="0" fontId="0" fillId="7" borderId="4" xfId="0" applyFill="1" applyBorder="1"/>
    <xf numFmtId="0" fontId="0" fillId="7" borderId="0" xfId="0" applyFill="1" applyBorder="1"/>
    <xf numFmtId="0" fontId="0" fillId="7" borderId="0" xfId="0" applyFill="1"/>
    <xf numFmtId="0" fontId="0" fillId="2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quotePrefix="1" applyFill="1" applyAlignment="1">
      <alignment horizontal="center"/>
    </xf>
    <xf numFmtId="0" fontId="0" fillId="6" borderId="4" xfId="0" applyFill="1" applyBorder="1"/>
    <xf numFmtId="0" fontId="0" fillId="8" borderId="0" xfId="0" applyFill="1" applyAlignment="1">
      <alignment horizontal="center"/>
    </xf>
    <xf numFmtId="0" fontId="0" fillId="8" borderId="4" xfId="0" applyFill="1" applyBorder="1"/>
    <xf numFmtId="0" fontId="0" fillId="8" borderId="0" xfId="0" applyFill="1" applyBorder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Border="1"/>
    <xf numFmtId="0" fontId="0" fillId="8" borderId="0" xfId="0" quotePrefix="1" applyFill="1" applyAlignment="1">
      <alignment horizontal="center"/>
    </xf>
    <xf numFmtId="0" fontId="0" fillId="8" borderId="5" xfId="0" applyFill="1" applyBorder="1"/>
    <xf numFmtId="0" fontId="0" fillId="7" borderId="5" xfId="0" applyFill="1" applyBorder="1"/>
    <xf numFmtId="0" fontId="0" fillId="6" borderId="5" xfId="0" applyFill="1" applyBorder="1"/>
    <xf numFmtId="0" fontId="0" fillId="9" borderId="4" xfId="0" applyFill="1" applyBorder="1"/>
    <xf numFmtId="0" fontId="0" fillId="9" borderId="0" xfId="0" applyFill="1" applyBorder="1" applyAlignment="1">
      <alignment horizontal="center"/>
    </xf>
    <xf numFmtId="0" fontId="0" fillId="9" borderId="0" xfId="0" applyFill="1" applyBorder="1"/>
    <xf numFmtId="0" fontId="0" fillId="9" borderId="5" xfId="0" applyFill="1" applyBorder="1"/>
    <xf numFmtId="0" fontId="0" fillId="9" borderId="0" xfId="0" applyFill="1" applyAlignment="1">
      <alignment horizontal="center"/>
    </xf>
    <xf numFmtId="0" fontId="0" fillId="10" borderId="4" xfId="0" applyFill="1" applyBorder="1"/>
    <xf numFmtId="0" fontId="0" fillId="10" borderId="0" xfId="0" applyFill="1" applyBorder="1" applyAlignment="1">
      <alignment horizontal="center"/>
    </xf>
    <xf numFmtId="0" fontId="0" fillId="10" borderId="5" xfId="0" applyFill="1" applyBorder="1"/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quotePrefix="1" applyFill="1" applyAlignment="1">
      <alignment horizontal="center"/>
    </xf>
    <xf numFmtId="0" fontId="0" fillId="11" borderId="4" xfId="0" applyFill="1" applyBorder="1"/>
    <xf numFmtId="0" fontId="0" fillId="11" borderId="0" xfId="0" applyFill="1" applyBorder="1" applyAlignment="1">
      <alignment horizontal="center"/>
    </xf>
    <xf numFmtId="0" fontId="0" fillId="11" borderId="5" xfId="0" applyFill="1" applyBorder="1"/>
    <xf numFmtId="0" fontId="1" fillId="12" borderId="0" xfId="1" applyFill="1" applyBorder="1" applyAlignment="1">
      <alignment horizontal="center"/>
    </xf>
    <xf numFmtId="0" fontId="1" fillId="12" borderId="0" xfId="1" applyFill="1" applyBorder="1"/>
    <xf numFmtId="0" fontId="0" fillId="6" borderId="0" xfId="0" applyFill="1"/>
    <xf numFmtId="0" fontId="0" fillId="13" borderId="0" xfId="0" applyFill="1"/>
    <xf numFmtId="0" fontId="0" fillId="14" borderId="0" xfId="0" applyFill="1"/>
    <xf numFmtId="0" fontId="1" fillId="14" borderId="0" xfId="1" applyFill="1" applyBorder="1"/>
    <xf numFmtId="0" fontId="1" fillId="14" borderId="4" xfId="1" applyFill="1" applyBorder="1"/>
    <xf numFmtId="0" fontId="1" fillId="0" borderId="0" xfId="1" applyFill="1"/>
  </cellXfs>
  <cellStyles count="2">
    <cellStyle name="Hiperłącze" xfId="1" builtinId="8"/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DBC5E070-4D6A-4FA3-B9D9-7BF54C85A4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172528</xdr:rowOff>
        </xdr:from>
        <xdr:to>
          <xdr:col>2</xdr:col>
          <xdr:colOff>3079630</xdr:colOff>
          <xdr:row>9</xdr:row>
          <xdr:rowOff>172528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92CAC9D0-1F68-49BE-A564-A41E72522A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LoRa_Send_start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7</xdr:row>
          <xdr:rowOff>172528</xdr:rowOff>
        </xdr:from>
        <xdr:to>
          <xdr:col>2</xdr:col>
          <xdr:colOff>3079630</xdr:colOff>
          <xdr:row>8</xdr:row>
          <xdr:rowOff>172528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LoRa_Send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LoRa_Send_Header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RADIO_TxDone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DA3CE2FC-AE0E-402B-BC0F-94F18C8A22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727955E5-5BAC-4963-9C4B-383B1A7D8D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RADIO_RxDone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AF624E55-C68E-4F17-9188-0C1E66FEC0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3DA8B9D2-9135-476E-95AD-3394456EED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LoRa_RxDone_OK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181ECBF4-9254-4707-A579-929619CA1E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80DC713F-B209-468B-A735-7AC1971328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RADIO_RxDone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CE39B92A-4D10-44CF-85F3-B3BA5A6C93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3B7AF0EF-9039-46A3-885D-1AB559CEB5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RADIO_TxDone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B3464C1C-2CCC-4D24-AA88-74016D4DD5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26042DBE-6C01-4081-BEC3-1E3F295903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RADIO_RxDone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FAB4C-423A-465C-95FD-D669F885255A}">
  <sheetPr codeName="Arkusz1"/>
  <dimension ref="B1:H67"/>
  <sheetViews>
    <sheetView topLeftCell="A13" workbookViewId="0">
      <selection activeCell="H30" sqref="H3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7" max="7" width="27" customWidth="1"/>
    <col min="8" max="8" width="27.5" customWidth="1"/>
    <col min="9" max="9" width="31.875" customWidth="1"/>
  </cols>
  <sheetData>
    <row r="1" spans="2:8" x14ac:dyDescent="0.25">
      <c r="C1" s="5"/>
    </row>
    <row r="2" spans="2:8" x14ac:dyDescent="0.25">
      <c r="B2" t="s">
        <v>43</v>
      </c>
      <c r="G2" t="s">
        <v>42</v>
      </c>
    </row>
    <row r="3" spans="2:8" x14ac:dyDescent="0.25">
      <c r="B3" s="5" t="s">
        <v>32</v>
      </c>
      <c r="C3" t="s">
        <v>109</v>
      </c>
      <c r="D3"/>
      <c r="E3"/>
      <c r="G3" t="s">
        <v>44</v>
      </c>
      <c r="H3" t="s">
        <v>55</v>
      </c>
    </row>
    <row r="4" spans="2:8" x14ac:dyDescent="0.25">
      <c r="B4" t="s">
        <v>110</v>
      </c>
      <c r="C4" t="s">
        <v>111</v>
      </c>
      <c r="D4"/>
      <c r="E4"/>
      <c r="G4" t="s">
        <v>44</v>
      </c>
      <c r="H4" t="s">
        <v>172</v>
      </c>
    </row>
    <row r="5" spans="2:8" x14ac:dyDescent="0.25">
      <c r="B5" t="s">
        <v>37</v>
      </c>
      <c r="C5" t="s">
        <v>36</v>
      </c>
      <c r="D5" t="s">
        <v>52</v>
      </c>
      <c r="E5"/>
      <c r="G5" t="s">
        <v>44</v>
      </c>
      <c r="H5" t="s">
        <v>173</v>
      </c>
    </row>
    <row r="6" spans="2:8" x14ac:dyDescent="0.25">
      <c r="B6" t="s">
        <v>114</v>
      </c>
      <c r="C6" t="s">
        <v>196</v>
      </c>
      <c r="D6"/>
      <c r="E6"/>
      <c r="G6" t="s">
        <v>15</v>
      </c>
      <c r="H6" t="s">
        <v>174</v>
      </c>
    </row>
    <row r="7" spans="2:8" x14ac:dyDescent="0.25">
      <c r="B7" t="s">
        <v>20</v>
      </c>
      <c r="C7" t="s">
        <v>21</v>
      </c>
      <c r="D7" s="3"/>
      <c r="E7"/>
      <c r="G7" t="s">
        <v>20</v>
      </c>
      <c r="H7" t="s">
        <v>175</v>
      </c>
    </row>
    <row r="8" spans="2:8" x14ac:dyDescent="0.25">
      <c r="B8" t="s">
        <v>20</v>
      </c>
      <c r="C8" t="s">
        <v>22</v>
      </c>
      <c r="D8"/>
      <c r="E8"/>
      <c r="G8" t="s">
        <v>20</v>
      </c>
      <c r="H8" t="s">
        <v>177</v>
      </c>
    </row>
    <row r="9" spans="2:8" x14ac:dyDescent="0.25">
      <c r="B9" t="s">
        <v>20</v>
      </c>
      <c r="C9" t="s">
        <v>166</v>
      </c>
      <c r="D9"/>
      <c r="E9"/>
      <c r="G9" t="s">
        <v>20</v>
      </c>
      <c r="H9" t="s">
        <v>176</v>
      </c>
    </row>
    <row r="10" spans="2:8" x14ac:dyDescent="0.25">
      <c r="B10" t="s">
        <v>20</v>
      </c>
      <c r="C10" t="s">
        <v>23</v>
      </c>
      <c r="D10"/>
      <c r="E10"/>
      <c r="G10" t="s">
        <v>49</v>
      </c>
      <c r="H10" t="s">
        <v>123</v>
      </c>
    </row>
    <row r="11" spans="2:8" x14ac:dyDescent="0.25">
      <c r="B11" t="s">
        <v>20</v>
      </c>
      <c r="C11" t="s">
        <v>24</v>
      </c>
      <c r="D11"/>
      <c r="E11"/>
      <c r="G11" t="s">
        <v>50</v>
      </c>
      <c r="H11" t="s">
        <v>178</v>
      </c>
    </row>
    <row r="12" spans="2:8" x14ac:dyDescent="0.25">
      <c r="B12" t="s">
        <v>20</v>
      </c>
      <c r="C12" t="s">
        <v>25</v>
      </c>
      <c r="D12"/>
      <c r="E12"/>
      <c r="G12" t="s">
        <v>51</v>
      </c>
      <c r="H12" t="s">
        <v>179</v>
      </c>
    </row>
    <row r="13" spans="2:8" x14ac:dyDescent="0.25">
      <c r="B13" t="s">
        <v>20</v>
      </c>
      <c r="C13" t="s">
        <v>26</v>
      </c>
      <c r="D13"/>
      <c r="E13"/>
      <c r="G13" t="s">
        <v>45</v>
      </c>
      <c r="H13" t="s">
        <v>180</v>
      </c>
    </row>
    <row r="14" spans="2:8" x14ac:dyDescent="0.25">
      <c r="B14" t="s">
        <v>20</v>
      </c>
      <c r="C14" t="s">
        <v>27</v>
      </c>
      <c r="D14"/>
      <c r="E14"/>
      <c r="G14" t="s">
        <v>20</v>
      </c>
      <c r="H14" t="s">
        <v>181</v>
      </c>
    </row>
    <row r="15" spans="2:8" x14ac:dyDescent="0.25">
      <c r="B15" t="s">
        <v>20</v>
      </c>
      <c r="C15" t="s">
        <v>106</v>
      </c>
      <c r="D15"/>
      <c r="E15"/>
      <c r="G15" t="s">
        <v>20</v>
      </c>
      <c r="H15" t="s">
        <v>182</v>
      </c>
    </row>
    <row r="16" spans="2:8" x14ac:dyDescent="0.25">
      <c r="B16" t="s">
        <v>20</v>
      </c>
      <c r="C16" t="s">
        <v>81</v>
      </c>
      <c r="D16"/>
      <c r="E16"/>
      <c r="G16" t="s">
        <v>20</v>
      </c>
      <c r="H16" t="s">
        <v>151</v>
      </c>
    </row>
    <row r="17" spans="2:8" x14ac:dyDescent="0.25">
      <c r="B17" t="s">
        <v>20</v>
      </c>
      <c r="C17" t="s">
        <v>31</v>
      </c>
      <c r="D17"/>
      <c r="E17"/>
      <c r="G17" t="s">
        <v>15</v>
      </c>
      <c r="H17" t="s">
        <v>183</v>
      </c>
    </row>
    <row r="18" spans="2:8" x14ac:dyDescent="0.25">
      <c r="B18" t="s">
        <v>29</v>
      </c>
      <c r="C18" t="s">
        <v>88</v>
      </c>
      <c r="D18"/>
      <c r="E18"/>
      <c r="G18" t="s">
        <v>20</v>
      </c>
      <c r="H18" t="s">
        <v>184</v>
      </c>
    </row>
    <row r="19" spans="2:8" x14ac:dyDescent="0.25">
      <c r="C19" t="s">
        <v>89</v>
      </c>
      <c r="D19"/>
      <c r="E19"/>
      <c r="G19" t="s">
        <v>46</v>
      </c>
      <c r="H19" t="s">
        <v>141</v>
      </c>
    </row>
    <row r="20" spans="2:8" x14ac:dyDescent="0.25">
      <c r="B20" t="s">
        <v>29</v>
      </c>
      <c r="C20" t="s">
        <v>86</v>
      </c>
      <c r="D20"/>
      <c r="E20"/>
      <c r="G20" t="s">
        <v>20</v>
      </c>
      <c r="H20" t="s">
        <v>142</v>
      </c>
    </row>
    <row r="21" spans="2:8" x14ac:dyDescent="0.25">
      <c r="C21" t="s">
        <v>87</v>
      </c>
      <c r="D21"/>
      <c r="E21"/>
    </row>
    <row r="22" spans="2:8" x14ac:dyDescent="0.25">
      <c r="B22" t="s">
        <v>29</v>
      </c>
      <c r="C22" t="s">
        <v>136</v>
      </c>
      <c r="D22"/>
      <c r="E22"/>
      <c r="G22" t="s">
        <v>20</v>
      </c>
      <c r="H22" t="s">
        <v>105</v>
      </c>
    </row>
    <row r="23" spans="2:8" x14ac:dyDescent="0.25">
      <c r="C23" t="s">
        <v>137</v>
      </c>
      <c r="D23"/>
      <c r="E23"/>
      <c r="G23" t="s">
        <v>185</v>
      </c>
      <c r="H23" t="s">
        <v>104</v>
      </c>
    </row>
    <row r="24" spans="2:8" x14ac:dyDescent="0.25">
      <c r="B24" t="s">
        <v>20</v>
      </c>
      <c r="C24" t="s">
        <v>76</v>
      </c>
      <c r="D24"/>
      <c r="E24"/>
      <c r="G24" t="s">
        <v>20</v>
      </c>
      <c r="H24" t="s">
        <v>186</v>
      </c>
    </row>
    <row r="25" spans="2:8" x14ac:dyDescent="0.25">
      <c r="B25" t="s">
        <v>20</v>
      </c>
      <c r="C25" t="s">
        <v>69</v>
      </c>
      <c r="D25"/>
      <c r="E25"/>
      <c r="G25" t="s">
        <v>20</v>
      </c>
      <c r="H25" t="s">
        <v>187</v>
      </c>
    </row>
    <row r="26" spans="2:8" x14ac:dyDescent="0.25">
      <c r="B26" t="s">
        <v>20</v>
      </c>
      <c r="C26" t="s">
        <v>70</v>
      </c>
      <c r="D26"/>
      <c r="E26"/>
      <c r="G26" t="s">
        <v>20</v>
      </c>
      <c r="H26" t="s">
        <v>188</v>
      </c>
    </row>
    <row r="27" spans="2:8" x14ac:dyDescent="0.25">
      <c r="B27" t="s">
        <v>72</v>
      </c>
      <c r="C27" t="s">
        <v>73</v>
      </c>
      <c r="D27"/>
      <c r="E27"/>
      <c r="G27" t="s">
        <v>44</v>
      </c>
      <c r="H27" t="s">
        <v>102</v>
      </c>
    </row>
    <row r="28" spans="2:8" x14ac:dyDescent="0.25">
      <c r="B28" t="s">
        <v>20</v>
      </c>
      <c r="C28" t="s">
        <v>28</v>
      </c>
      <c r="D28"/>
      <c r="E28"/>
      <c r="G28" t="s">
        <v>20</v>
      </c>
      <c r="H28" t="s">
        <v>189</v>
      </c>
    </row>
    <row r="29" spans="2:8" x14ac:dyDescent="0.25">
      <c r="B29" t="s">
        <v>20</v>
      </c>
      <c r="C29" t="s">
        <v>78</v>
      </c>
      <c r="D29"/>
      <c r="E29"/>
      <c r="G29" t="s">
        <v>44</v>
      </c>
      <c r="H29" t="s">
        <v>202</v>
      </c>
    </row>
    <row r="30" spans="2:8" x14ac:dyDescent="0.25">
      <c r="B30" t="s">
        <v>20</v>
      </c>
      <c r="C30" t="s">
        <v>79</v>
      </c>
      <c r="D30"/>
      <c r="E30"/>
      <c r="G30" t="s">
        <v>20</v>
      </c>
      <c r="H30" t="s">
        <v>190</v>
      </c>
    </row>
    <row r="31" spans="2:8" x14ac:dyDescent="0.25">
      <c r="B31" t="s">
        <v>20</v>
      </c>
      <c r="C31" t="s">
        <v>161</v>
      </c>
      <c r="D31"/>
      <c r="E31"/>
      <c r="G31" t="s">
        <v>45</v>
      </c>
      <c r="H31" t="s">
        <v>191</v>
      </c>
    </row>
    <row r="32" spans="2:8" x14ac:dyDescent="0.25">
      <c r="D32"/>
      <c r="E32"/>
      <c r="G32" t="s">
        <v>47</v>
      </c>
      <c r="H32" t="s">
        <v>147</v>
      </c>
    </row>
    <row r="33" spans="2:8" x14ac:dyDescent="0.25">
      <c r="D33"/>
      <c r="E33"/>
      <c r="G33" t="s">
        <v>48</v>
      </c>
      <c r="H33" t="s">
        <v>192</v>
      </c>
    </row>
    <row r="34" spans="2:8" x14ac:dyDescent="0.25">
      <c r="D34"/>
      <c r="E34"/>
      <c r="G34" t="s">
        <v>48</v>
      </c>
      <c r="H34" t="s">
        <v>193</v>
      </c>
    </row>
    <row r="35" spans="2:8" x14ac:dyDescent="0.25">
      <c r="D35"/>
      <c r="E35"/>
    </row>
    <row r="36" spans="2:8" x14ac:dyDescent="0.25">
      <c r="D36"/>
      <c r="E36"/>
    </row>
    <row r="37" spans="2:8" x14ac:dyDescent="0.25">
      <c r="D37"/>
      <c r="E37"/>
    </row>
    <row r="38" spans="2:8" x14ac:dyDescent="0.25">
      <c r="B38" t="s">
        <v>30</v>
      </c>
      <c r="C38" t="s">
        <v>74</v>
      </c>
      <c r="D38"/>
      <c r="E38"/>
    </row>
    <row r="39" spans="2:8" x14ac:dyDescent="0.25">
      <c r="B39" t="s">
        <v>20</v>
      </c>
      <c r="C39" t="s">
        <v>85</v>
      </c>
      <c r="D39" t="s">
        <v>75</v>
      </c>
      <c r="E39"/>
    </row>
    <row r="40" spans="2:8" x14ac:dyDescent="0.25">
      <c r="B40" t="s">
        <v>20</v>
      </c>
      <c r="C40" t="s">
        <v>92</v>
      </c>
      <c r="D40"/>
      <c r="E40"/>
    </row>
    <row r="41" spans="2:8" x14ac:dyDescent="0.25">
      <c r="B41" t="s">
        <v>20</v>
      </c>
      <c r="C41" t="s">
        <v>94</v>
      </c>
      <c r="D41"/>
      <c r="E41"/>
    </row>
    <row r="42" spans="2:8" x14ac:dyDescent="0.25">
      <c r="B42" t="s">
        <v>20</v>
      </c>
      <c r="C42" t="s">
        <v>95</v>
      </c>
      <c r="D42"/>
      <c r="E42"/>
    </row>
    <row r="43" spans="2:8" x14ac:dyDescent="0.25">
      <c r="B43" t="s">
        <v>20</v>
      </c>
      <c r="C43" t="s">
        <v>96</v>
      </c>
      <c r="D43"/>
      <c r="E43"/>
    </row>
    <row r="44" spans="2:8" x14ac:dyDescent="0.25">
      <c r="B44" t="s">
        <v>20</v>
      </c>
      <c r="C44" t="s">
        <v>118</v>
      </c>
      <c r="D44" t="s">
        <v>119</v>
      </c>
      <c r="E44"/>
    </row>
    <row r="46" spans="2:8" x14ac:dyDescent="0.25">
      <c r="G46" s="5"/>
    </row>
    <row r="47" spans="2:8" x14ac:dyDescent="0.25">
      <c r="G47" s="5"/>
    </row>
    <row r="48" spans="2:8" x14ac:dyDescent="0.25">
      <c r="C48" t="s">
        <v>150</v>
      </c>
    </row>
    <row r="49" spans="2:3" x14ac:dyDescent="0.25">
      <c r="B49" t="s">
        <v>121</v>
      </c>
      <c r="C49" t="s">
        <v>122</v>
      </c>
    </row>
    <row r="50" spans="2:3" x14ac:dyDescent="0.25">
      <c r="C50" t="s">
        <v>123</v>
      </c>
    </row>
    <row r="51" spans="2:3" x14ac:dyDescent="0.25">
      <c r="C51" t="s">
        <v>55</v>
      </c>
    </row>
    <row r="52" spans="2:3" x14ac:dyDescent="0.25">
      <c r="C52" t="s">
        <v>125</v>
      </c>
    </row>
    <row r="53" spans="2:3" x14ac:dyDescent="0.25">
      <c r="C53" t="s">
        <v>130</v>
      </c>
    </row>
    <row r="54" spans="2:3" x14ac:dyDescent="0.25">
      <c r="C54" t="s">
        <v>131</v>
      </c>
    </row>
    <row r="55" spans="2:3" x14ac:dyDescent="0.25">
      <c r="C55" t="s">
        <v>132</v>
      </c>
    </row>
    <row r="56" spans="2:3" x14ac:dyDescent="0.25">
      <c r="C56" t="s">
        <v>133</v>
      </c>
    </row>
    <row r="57" spans="2:3" x14ac:dyDescent="0.25">
      <c r="C57" t="s">
        <v>134</v>
      </c>
    </row>
    <row r="58" spans="2:3" x14ac:dyDescent="0.25">
      <c r="C58" t="s">
        <v>135</v>
      </c>
    </row>
    <row r="59" spans="2:3" x14ac:dyDescent="0.25">
      <c r="C59" t="s">
        <v>140</v>
      </c>
    </row>
    <row r="60" spans="2:3" x14ac:dyDescent="0.25">
      <c r="C60" t="s">
        <v>141</v>
      </c>
    </row>
    <row r="61" spans="2:3" x14ac:dyDescent="0.25">
      <c r="C61" t="s">
        <v>142</v>
      </c>
    </row>
    <row r="62" spans="2:3" x14ac:dyDescent="0.25">
      <c r="C62" t="s">
        <v>174</v>
      </c>
    </row>
    <row r="63" spans="2:3" x14ac:dyDescent="0.25">
      <c r="C63" t="s">
        <v>143</v>
      </c>
    </row>
    <row r="64" spans="2:3" x14ac:dyDescent="0.25">
      <c r="C64" t="s">
        <v>144</v>
      </c>
    </row>
    <row r="65" spans="3:3" x14ac:dyDescent="0.25">
      <c r="C65" t="s">
        <v>145</v>
      </c>
    </row>
    <row r="66" spans="3:3" x14ac:dyDescent="0.25">
      <c r="C66" t="s">
        <v>146</v>
      </c>
    </row>
    <row r="67" spans="3:3" x14ac:dyDescent="0.25">
      <c r="C67" t="s">
        <v>147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6DCA9-7D6E-45B0-BDB1-79B8F2066CB5}">
  <sheetPr codeName="Arkusz2"/>
  <dimension ref="B1:J79"/>
  <sheetViews>
    <sheetView showZeros="0" workbookViewId="0">
      <selection activeCell="I35" sqref="I35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3:10" x14ac:dyDescent="0.25">
      <c r="C1" s="4" t="s">
        <v>38</v>
      </c>
      <c r="I1" s="2" t="s">
        <v>3</v>
      </c>
    </row>
    <row r="3" spans="3:10" x14ac:dyDescent="0.25">
      <c r="C3" t="str">
        <f>function!C3</f>
        <v>LoRa_transmitStatus</v>
      </c>
      <c r="D3" s="6" t="s">
        <v>9</v>
      </c>
      <c r="G3" t="str">
        <f>function!B3</f>
        <v>LoRaMacState_t</v>
      </c>
      <c r="H3" t="str">
        <f>function!C3</f>
        <v>LoRa_transmitStatus</v>
      </c>
      <c r="I3" s="6" t="s">
        <v>9</v>
      </c>
      <c r="J3">
        <f>function!E3</f>
        <v>0</v>
      </c>
    </row>
    <row r="4" spans="3:10" x14ac:dyDescent="0.25">
      <c r="C4" t="str">
        <f>function!C4</f>
        <v>LoRa_StatusDanych</v>
      </c>
      <c r="D4" s="6" t="s">
        <v>112</v>
      </c>
      <c r="G4" t="str">
        <f>function!B4</f>
        <v>LoRaStatus_t</v>
      </c>
      <c r="H4" t="str">
        <f>function!C4</f>
        <v>LoRa_StatusDanych</v>
      </c>
      <c r="I4" s="6" t="s">
        <v>112</v>
      </c>
      <c r="J4">
        <f>function!E4</f>
        <v>0</v>
      </c>
    </row>
    <row r="5" spans="3:10" x14ac:dyDescent="0.25">
      <c r="C5" t="str">
        <f>H47</f>
        <v>flags</v>
      </c>
      <c r="D5" s="6" t="str">
        <f>I47</f>
        <v>0</v>
      </c>
      <c r="G5" t="str">
        <f>function!B5</f>
        <v>bool</v>
      </c>
      <c r="H5" t="str">
        <f>function!C5</f>
        <v>LoRa_initialised</v>
      </c>
      <c r="I5" s="6" t="s">
        <v>39</v>
      </c>
      <c r="J5">
        <f>function!E5</f>
        <v>0</v>
      </c>
    </row>
    <row r="6" spans="3:10" x14ac:dyDescent="0.25">
      <c r="G6" t="str">
        <f>function!B6</f>
        <v>FCnt_t</v>
      </c>
      <c r="H6" t="str">
        <f>function!C6</f>
        <v>LoRa_Counter</v>
      </c>
      <c r="I6" s="8" t="s">
        <v>66</v>
      </c>
      <c r="J6">
        <f>function!E6</f>
        <v>0</v>
      </c>
    </row>
    <row r="7" spans="3:10" x14ac:dyDescent="0.25">
      <c r="G7" t="str">
        <f>function!B7</f>
        <v>uint8_t</v>
      </c>
      <c r="H7" t="str">
        <f>function!C7</f>
        <v>LoRa_Addres</v>
      </c>
      <c r="I7" s="6" t="s">
        <v>53</v>
      </c>
      <c r="J7">
        <f>function!E7</f>
        <v>0</v>
      </c>
    </row>
    <row r="8" spans="3:10" x14ac:dyDescent="0.25">
      <c r="C8" t="s">
        <v>115</v>
      </c>
      <c r="G8" t="str">
        <f>function!B8</f>
        <v>uint8_t</v>
      </c>
      <c r="H8" t="str">
        <f>function!C8</f>
        <v>LoRa_TimerHandshaking</v>
      </c>
      <c r="I8" s="14" t="s">
        <v>66</v>
      </c>
      <c r="J8" s="1" t="s">
        <v>12</v>
      </c>
    </row>
    <row r="9" spans="3:10" x14ac:dyDescent="0.25">
      <c r="C9" t="s">
        <v>116</v>
      </c>
      <c r="G9" t="str">
        <f>function!B9</f>
        <v>uint8_t</v>
      </c>
      <c r="H9" t="str">
        <f>function!C9</f>
        <v>LoRa_TimerRetransmit</v>
      </c>
      <c r="I9" s="14" t="s">
        <v>66</v>
      </c>
      <c r="J9" s="1" t="s">
        <v>167</v>
      </c>
    </row>
    <row r="10" spans="3:10" x14ac:dyDescent="0.25">
      <c r="G10" t="str">
        <f>function!B10</f>
        <v>uint8_t</v>
      </c>
      <c r="H10" t="str">
        <f>function!C10</f>
        <v>LoRa_TimerWaitAck</v>
      </c>
      <c r="I10" s="14" t="s">
        <v>66</v>
      </c>
      <c r="J10" s="1" t="s">
        <v>54</v>
      </c>
    </row>
    <row r="11" spans="3:10" x14ac:dyDescent="0.25">
      <c r="C11" s="9" t="s">
        <v>1</v>
      </c>
      <c r="D11" s="2" t="s">
        <v>117</v>
      </c>
      <c r="E11" s="2" t="s">
        <v>40</v>
      </c>
      <c r="G11" t="str">
        <f>function!B11</f>
        <v>uint8_t</v>
      </c>
      <c r="H11" t="str">
        <f>function!C11</f>
        <v>LoRa_HeaderBufor</v>
      </c>
      <c r="I11" s="2">
        <f>function!D11</f>
        <v>0</v>
      </c>
      <c r="J11">
        <f>function!E11</f>
        <v>0</v>
      </c>
    </row>
    <row r="12" spans="3:10" x14ac:dyDescent="0.25">
      <c r="C12" t="s">
        <v>120</v>
      </c>
      <c r="G12" t="str">
        <f>function!B12</f>
        <v>uint8_t</v>
      </c>
      <c r="H12" t="str">
        <f>function!C12</f>
        <v>LoRa_HeaderLength</v>
      </c>
      <c r="I12" s="2">
        <f>function!D12</f>
        <v>0</v>
      </c>
      <c r="J12">
        <f>function!E12</f>
        <v>0</v>
      </c>
    </row>
    <row r="13" spans="3:10" x14ac:dyDescent="0.25">
      <c r="G13" t="str">
        <f>function!B13</f>
        <v>uint8_t</v>
      </c>
      <c r="H13" t="str">
        <f>function!C13</f>
        <v>LoRa_Bufor</v>
      </c>
      <c r="I13" s="2">
        <f>function!D13</f>
        <v>0</v>
      </c>
      <c r="J13">
        <f>function!E13</f>
        <v>0</v>
      </c>
    </row>
    <row r="14" spans="3:10" x14ac:dyDescent="0.25">
      <c r="C14" s="28" t="s">
        <v>68</v>
      </c>
      <c r="D14" s="2" t="s">
        <v>41</v>
      </c>
      <c r="G14" t="str">
        <f>function!B14</f>
        <v>uint8_t</v>
      </c>
      <c r="H14" t="str">
        <f>function!C14</f>
        <v>LoRa_BuforLength</v>
      </c>
      <c r="I14" s="2">
        <f>function!D14</f>
        <v>0</v>
      </c>
      <c r="J14">
        <f>function!E14</f>
        <v>0</v>
      </c>
    </row>
    <row r="15" spans="3:10" x14ac:dyDescent="0.25">
      <c r="G15" t="str">
        <f>function!B15</f>
        <v>uint8_t</v>
      </c>
      <c r="H15" t="str">
        <f>function!C15</f>
        <v>LoRa_Command</v>
      </c>
      <c r="I15" s="2">
        <f>function!D15</f>
        <v>0</v>
      </c>
      <c r="J15">
        <f>function!E15</f>
        <v>0</v>
      </c>
    </row>
    <row r="16" spans="3:10" x14ac:dyDescent="0.25">
      <c r="C16" t="s">
        <v>128</v>
      </c>
      <c r="G16" t="str">
        <f>function!B16</f>
        <v>uint8_t</v>
      </c>
      <c r="H16" t="str">
        <f>function!C16</f>
        <v>LoRa_maxChannels</v>
      </c>
      <c r="I16" s="15" t="s">
        <v>75</v>
      </c>
      <c r="J16">
        <f>function!E16</f>
        <v>0</v>
      </c>
    </row>
    <row r="17" spans="2:10" x14ac:dyDescent="0.25">
      <c r="G17" t="str">
        <f>function!B17</f>
        <v>uint8_t</v>
      </c>
      <c r="H17" t="str">
        <f>function!C17</f>
        <v>LoRa_lastUsedChannelIndex</v>
      </c>
      <c r="I17" s="2">
        <f>function!D17</f>
        <v>0</v>
      </c>
      <c r="J17">
        <f>function!E17</f>
        <v>0</v>
      </c>
    </row>
    <row r="18" spans="2:10" x14ac:dyDescent="0.25">
      <c r="G18" t="str">
        <f>function!B18</f>
        <v>ReceiveWindowParameters_t</v>
      </c>
      <c r="H18" t="str">
        <f>function!C18</f>
        <v>LoRa_ch0_params.frequency</v>
      </c>
      <c r="I18" s="6" t="s">
        <v>90</v>
      </c>
      <c r="J18">
        <f>function!E18</f>
        <v>0</v>
      </c>
    </row>
    <row r="19" spans="2:10" x14ac:dyDescent="0.25">
      <c r="G19">
        <f>function!B19</f>
        <v>0</v>
      </c>
      <c r="H19" t="str">
        <f>function!C19</f>
        <v>LoRa_ch0_params.datarate</v>
      </c>
      <c r="I19" s="6" t="s">
        <v>91</v>
      </c>
      <c r="J19">
        <f>function!E19</f>
        <v>0</v>
      </c>
    </row>
    <row r="20" spans="2:10" x14ac:dyDescent="0.25">
      <c r="G20" t="str">
        <f>function!B20</f>
        <v>ReceiveWindowParameters_t</v>
      </c>
      <c r="H20" t="str">
        <f>function!C20</f>
        <v>LoRa_receiveChannelParameters.frequency</v>
      </c>
      <c r="J20">
        <f>function!E20</f>
        <v>0</v>
      </c>
    </row>
    <row r="21" spans="2:10" x14ac:dyDescent="0.25">
      <c r="G21">
        <f>function!B21</f>
        <v>0</v>
      </c>
      <c r="H21" t="str">
        <f>function!C21</f>
        <v>LoRa_receiveChannelParameters.dataRate</v>
      </c>
      <c r="J21">
        <f>function!E21</f>
        <v>0</v>
      </c>
    </row>
    <row r="22" spans="2:10" x14ac:dyDescent="0.25">
      <c r="G22" t="str">
        <f>function!B22</f>
        <v>ReceiveWindowParameters_t</v>
      </c>
      <c r="H22" t="str">
        <f>function!C22</f>
        <v>LoRa_sendChannelParameters.frequency</v>
      </c>
      <c r="J22">
        <f>function!E22</f>
        <v>0</v>
      </c>
    </row>
    <row r="23" spans="2:10" x14ac:dyDescent="0.25">
      <c r="G23">
        <f>function!B23</f>
        <v>0</v>
      </c>
      <c r="H23" t="str">
        <f>function!C23</f>
        <v>LoRa_sendChannelParameters.dataRate</v>
      </c>
      <c r="J23">
        <f>function!E23</f>
        <v>0</v>
      </c>
    </row>
    <row r="24" spans="2:10" x14ac:dyDescent="0.25">
      <c r="G24" t="str">
        <f>function!B24</f>
        <v>uint8_t</v>
      </c>
      <c r="H24" t="str">
        <f>function!C24</f>
        <v>LoRa_txPower</v>
      </c>
      <c r="I24" s="15">
        <v>1</v>
      </c>
      <c r="J24">
        <f>function!E24</f>
        <v>0</v>
      </c>
    </row>
    <row r="25" spans="2:10" x14ac:dyDescent="0.25">
      <c r="C25" t="str">
        <f>function!C48</f>
        <v>DATA</v>
      </c>
      <c r="D25" s="2">
        <f>function!D48</f>
        <v>0</v>
      </c>
      <c r="G25" t="str">
        <f>function!B25</f>
        <v>uint8_t</v>
      </c>
      <c r="H25" t="str">
        <f>function!C25</f>
        <v>LoRa_syncWord</v>
      </c>
      <c r="I25" s="15" t="s">
        <v>61</v>
      </c>
      <c r="J25">
        <f>function!E25</f>
        <v>0</v>
      </c>
    </row>
    <row r="26" spans="2:10" x14ac:dyDescent="0.25">
      <c r="B26" t="str">
        <f>function!B49</f>
        <v>RADIO</v>
      </c>
      <c r="C26" t="str">
        <f>function!C49</f>
        <v>mode</v>
      </c>
      <c r="D26" s="10" t="s">
        <v>124</v>
      </c>
      <c r="G26" t="str">
        <f>function!B26</f>
        <v>uint8_t</v>
      </c>
      <c r="H26" t="str">
        <f>function!C26</f>
        <v>LoRa_batteryLevel</v>
      </c>
      <c r="I26" s="15" t="s">
        <v>71</v>
      </c>
      <c r="J26">
        <f>function!E26</f>
        <v>0</v>
      </c>
    </row>
    <row r="27" spans="2:10" x14ac:dyDescent="0.25">
      <c r="B27">
        <f>function!B50</f>
        <v>0</v>
      </c>
      <c r="C27" t="str">
        <f>function!C50</f>
        <v>modulation</v>
      </c>
      <c r="D27" s="10" t="s">
        <v>56</v>
      </c>
      <c r="G27" t="str">
        <f>function!B27</f>
        <v>IsmBand_t</v>
      </c>
      <c r="H27" t="str">
        <f>function!C27</f>
        <v>LoRa_ismBand</v>
      </c>
      <c r="I27" s="15" t="s">
        <v>41</v>
      </c>
      <c r="J27">
        <f>function!E27</f>
        <v>0</v>
      </c>
    </row>
    <row r="28" spans="2:10" x14ac:dyDescent="0.25">
      <c r="B28">
        <f>function!B51</f>
        <v>0</v>
      </c>
      <c r="C28" t="str">
        <f>function!C51</f>
        <v>frequency</v>
      </c>
      <c r="D28" s="10" t="s">
        <v>40</v>
      </c>
      <c r="G28" t="str">
        <f>function!B28</f>
        <v>uint8_t</v>
      </c>
      <c r="H28" t="str">
        <f>function!C28</f>
        <v>LoRa_currentDataRate</v>
      </c>
      <c r="I28" s="15" t="s">
        <v>77</v>
      </c>
      <c r="J28">
        <f>function!E28</f>
        <v>0</v>
      </c>
    </row>
    <row r="29" spans="2:10" x14ac:dyDescent="0.25">
      <c r="B29">
        <f>function!B52</f>
        <v>0</v>
      </c>
      <c r="C29" t="str">
        <f>function!C52</f>
        <v>payload</v>
      </c>
      <c r="D29" s="10" t="s">
        <v>126</v>
      </c>
      <c r="G29" t="str">
        <f>function!B29</f>
        <v>uint8_t</v>
      </c>
      <c r="H29" t="str">
        <f>function!C29</f>
        <v>LoRa_minDataRate</v>
      </c>
      <c r="I29" s="15" t="s">
        <v>77</v>
      </c>
      <c r="J29">
        <f>function!E29</f>
        <v>0</v>
      </c>
    </row>
    <row r="30" spans="2:10" x14ac:dyDescent="0.25">
      <c r="B30">
        <f>function!B53</f>
        <v>0</v>
      </c>
      <c r="C30" t="str">
        <f>function!C53</f>
        <v>power</v>
      </c>
      <c r="G30" t="str">
        <f>function!B30</f>
        <v>uint8_t</v>
      </c>
      <c r="H30" t="str">
        <f>function!C30</f>
        <v>LoRa_maxDataRate</v>
      </c>
      <c r="I30" s="15" t="s">
        <v>80</v>
      </c>
      <c r="J30">
        <f>function!E30</f>
        <v>0</v>
      </c>
    </row>
    <row r="31" spans="2:10" x14ac:dyDescent="0.25">
      <c r="B31">
        <f>function!B54</f>
        <v>0</v>
      </c>
      <c r="C31" t="str">
        <f>function!C54</f>
        <v>SpreadingFactor</v>
      </c>
      <c r="G31" t="str">
        <f>function!B31</f>
        <v>uint8_t</v>
      </c>
      <c r="H31" t="str">
        <f>function!C31</f>
        <v>LoRa_nextUsedChannel</v>
      </c>
      <c r="I31" s="2">
        <f>function!D31</f>
        <v>0</v>
      </c>
      <c r="J31">
        <f>function!E31</f>
        <v>0</v>
      </c>
    </row>
    <row r="32" spans="2:10" x14ac:dyDescent="0.25">
      <c r="B32">
        <f>function!B55</f>
        <v>0</v>
      </c>
      <c r="C32" t="str">
        <f>function!C55</f>
        <v>Bandwidth</v>
      </c>
      <c r="G32">
        <f>function!B32</f>
        <v>0</v>
      </c>
      <c r="H32">
        <f>function!C32</f>
        <v>0</v>
      </c>
      <c r="I32" s="2">
        <f>function!D32</f>
        <v>0</v>
      </c>
      <c r="J32">
        <f>function!E32</f>
        <v>0</v>
      </c>
    </row>
    <row r="33" spans="2:10" x14ac:dyDescent="0.25">
      <c r="B33">
        <f>function!B56</f>
        <v>0</v>
      </c>
      <c r="C33" t="str">
        <f>function!C56</f>
        <v>SyncWord</v>
      </c>
      <c r="D33" s="15" t="str">
        <f>H25</f>
        <v>LoRa_syncWord</v>
      </c>
      <c r="G33">
        <f>function!B33</f>
        <v>0</v>
      </c>
      <c r="H33">
        <f>function!C33</f>
        <v>0</v>
      </c>
      <c r="I33" s="2">
        <f>function!D33</f>
        <v>0</v>
      </c>
      <c r="J33">
        <f>function!E33</f>
        <v>0</v>
      </c>
    </row>
    <row r="34" spans="2:10" x14ac:dyDescent="0.25">
      <c r="B34">
        <f>function!B57</f>
        <v>0</v>
      </c>
      <c r="C34" t="str">
        <f>function!C57</f>
        <v>CRC</v>
      </c>
      <c r="G34" t="str">
        <f>function!G3</f>
        <v>uint32_t</v>
      </c>
      <c r="H34" t="str">
        <f>function!H3</f>
        <v>frequency</v>
      </c>
      <c r="I34" s="10" t="s">
        <v>40</v>
      </c>
      <c r="J34">
        <f>function!E38</f>
        <v>0</v>
      </c>
    </row>
    <row r="35" spans="2:10" x14ac:dyDescent="0.25">
      <c r="B35">
        <f>function!B58</f>
        <v>0</v>
      </c>
      <c r="C35" t="str">
        <f>function!C58</f>
        <v>IQInverted</v>
      </c>
      <c r="G35" t="str">
        <f>function!G4</f>
        <v>uint32_t</v>
      </c>
      <c r="H35" t="str">
        <f>function!H4</f>
        <v>frequencyDeviation</v>
      </c>
      <c r="I35" s="10">
        <v>25000</v>
      </c>
      <c r="J35">
        <f>function!E39</f>
        <v>0</v>
      </c>
    </row>
    <row r="36" spans="2:10" x14ac:dyDescent="0.25">
      <c r="B36">
        <f>function!B59</f>
        <v>0</v>
      </c>
      <c r="C36" t="str">
        <f>function!C59</f>
        <v>HopPeriod</v>
      </c>
      <c r="G36" t="str">
        <f>function!G5</f>
        <v>uint32_t</v>
      </c>
      <c r="H36" t="str">
        <f>function!H5</f>
        <v>bitRate</v>
      </c>
      <c r="I36" s="10">
        <v>50000</v>
      </c>
      <c r="J36">
        <f>function!E40</f>
        <v>0</v>
      </c>
    </row>
    <row r="37" spans="2:10" x14ac:dyDescent="0.25">
      <c r="C37" t="str">
        <f>function!C60</f>
        <v>errorCodingRate</v>
      </c>
      <c r="G37" t="str">
        <f>function!G6</f>
        <v>uint16_t</v>
      </c>
      <c r="H37" t="str">
        <f>function!H6</f>
        <v>preambleLen</v>
      </c>
      <c r="I37" s="10">
        <v>8</v>
      </c>
      <c r="J37">
        <f>function!E41</f>
        <v>0</v>
      </c>
    </row>
    <row r="38" spans="2:10" x14ac:dyDescent="0.25">
      <c r="C38" t="str">
        <f>function!C61</f>
        <v>implicitHeaderMode</v>
      </c>
      <c r="G38" t="str">
        <f>function!G7</f>
        <v>uint8_t</v>
      </c>
      <c r="H38" t="str">
        <f>function!H7</f>
        <v>syncWordLoRa</v>
      </c>
      <c r="I38" s="15" t="s">
        <v>61</v>
      </c>
      <c r="J38">
        <f>function!E42</f>
        <v>0</v>
      </c>
    </row>
    <row r="39" spans="2:10" x14ac:dyDescent="0.25">
      <c r="C39" t="str">
        <f>function!C62</f>
        <v>preambleLen</v>
      </c>
      <c r="G39" t="str">
        <f>function!G8</f>
        <v>uint8_t</v>
      </c>
      <c r="H39" t="str">
        <f>function!H8</f>
        <v>syncWord</v>
      </c>
      <c r="I39" s="10" t="s">
        <v>60</v>
      </c>
      <c r="J39">
        <f>function!E43</f>
        <v>0</v>
      </c>
    </row>
    <row r="40" spans="2:10" x14ac:dyDescent="0.25">
      <c r="C40" t="str">
        <f>function!C63</f>
        <v>symbolTimeout</v>
      </c>
      <c r="G40" t="str">
        <f>function!G9</f>
        <v>uint8_t</v>
      </c>
      <c r="H40" t="str">
        <f>function!H9</f>
        <v>syncWordLen</v>
      </c>
      <c r="I40" s="10">
        <v>3</v>
      </c>
      <c r="J40">
        <f>function!E44</f>
        <v>0</v>
      </c>
    </row>
    <row r="41" spans="2:10" x14ac:dyDescent="0.25">
      <c r="C41" t="str">
        <f>function!C64</f>
        <v>FSKfreqDeviation</v>
      </c>
      <c r="G41" t="str">
        <f>function!G10</f>
        <v>RadioModulation_t</v>
      </c>
      <c r="H41" t="str">
        <f>function!H10</f>
        <v>modulation</v>
      </c>
      <c r="I41" s="10" t="s">
        <v>56</v>
      </c>
      <c r="J41">
        <f>function!E45</f>
        <v>0</v>
      </c>
    </row>
    <row r="42" spans="2:10" x14ac:dyDescent="0.25">
      <c r="C42" t="str">
        <f>function!C65</f>
        <v>FSKBitRate</v>
      </c>
      <c r="G42" t="str">
        <f>function!G11</f>
        <v>RadioDataRate_t</v>
      </c>
      <c r="H42" t="str">
        <f>function!H11</f>
        <v>dataRate</v>
      </c>
      <c r="I42" s="10" t="s">
        <v>59</v>
      </c>
      <c r="J42">
        <f>function!E46</f>
        <v>0</v>
      </c>
    </row>
    <row r="43" spans="2:10" x14ac:dyDescent="0.25">
      <c r="C43" t="str">
        <f>function!C66</f>
        <v>FSK_PREAMBLE</v>
      </c>
      <c r="G43" t="str">
        <f>function!G12</f>
        <v>RadioLoRaBandWidth_t</v>
      </c>
      <c r="H43" t="str">
        <f>function!H12</f>
        <v>bandWidth</v>
      </c>
      <c r="I43" s="10" t="s">
        <v>57</v>
      </c>
      <c r="J43">
        <f>function!E47</f>
        <v>0</v>
      </c>
    </row>
    <row r="44" spans="2:10" x14ac:dyDescent="0.25">
      <c r="C44" t="str">
        <f>function!C67</f>
        <v>fskDataShaping</v>
      </c>
      <c r="G44" t="str">
        <f>function!G13</f>
        <v>int8_t</v>
      </c>
      <c r="H44" t="str">
        <f>function!H13</f>
        <v>outputPower</v>
      </c>
      <c r="I44" s="10">
        <v>1</v>
      </c>
      <c r="J44">
        <f>function!E48</f>
        <v>0</v>
      </c>
    </row>
    <row r="45" spans="2:10" x14ac:dyDescent="0.25">
      <c r="C45">
        <f>function!C69</f>
        <v>0</v>
      </c>
      <c r="G45" t="str">
        <f>function!G14</f>
        <v>uint8_t</v>
      </c>
      <c r="H45" t="str">
        <f>function!H14</f>
        <v>crcOn</v>
      </c>
      <c r="I45" s="10">
        <v>1</v>
      </c>
      <c r="J45">
        <f>function!E49</f>
        <v>0</v>
      </c>
    </row>
    <row r="46" spans="2:10" x14ac:dyDescent="0.25">
      <c r="G46" t="str">
        <f>function!G15</f>
        <v>uint8_t</v>
      </c>
      <c r="H46" t="str">
        <f>function!H15</f>
        <v>paBoost</v>
      </c>
      <c r="I46" s="13" t="s">
        <v>66</v>
      </c>
      <c r="J46">
        <f>function!E50</f>
        <v>0</v>
      </c>
    </row>
    <row r="47" spans="2:10" x14ac:dyDescent="0.25">
      <c r="G47" t="str">
        <f>function!G16</f>
        <v>uint8_t</v>
      </c>
      <c r="H47" t="str">
        <f>function!H16</f>
        <v>flags</v>
      </c>
      <c r="I47" s="13" t="s">
        <v>66</v>
      </c>
    </row>
    <row r="48" spans="2:10" x14ac:dyDescent="0.25">
      <c r="G48" t="str">
        <f>function!G17</f>
        <v>uint16_t</v>
      </c>
      <c r="H48" t="str">
        <f>function!H17</f>
        <v>frequencyHopPeriod</v>
      </c>
      <c r="I48" s="13" t="s">
        <v>66</v>
      </c>
    </row>
    <row r="49" spans="7:10" x14ac:dyDescent="0.25">
      <c r="G49" t="str">
        <f>function!G18</f>
        <v>uint8_t</v>
      </c>
      <c r="H49" t="str">
        <f>function!H18</f>
        <v>iqInverted</v>
      </c>
      <c r="I49" s="13" t="s">
        <v>66</v>
      </c>
    </row>
    <row r="50" spans="7:10" x14ac:dyDescent="0.25">
      <c r="G50" t="str">
        <f>function!G19</f>
        <v>RadioErrorCodingRate_t</v>
      </c>
      <c r="H50" t="str">
        <f>function!H19</f>
        <v>errorCodingRate</v>
      </c>
      <c r="I50" s="10" t="s">
        <v>58</v>
      </c>
    </row>
    <row r="51" spans="7:10" x14ac:dyDescent="0.25">
      <c r="G51" t="str">
        <f>function!G20</f>
        <v>uint8_t</v>
      </c>
      <c r="H51" t="str">
        <f>function!H20</f>
        <v>implicitHeaderMode</v>
      </c>
      <c r="I51" s="13" t="s">
        <v>66</v>
      </c>
    </row>
    <row r="52" spans="7:10" x14ac:dyDescent="0.25">
      <c r="G52">
        <f>function!G21</f>
        <v>0</v>
      </c>
      <c r="H52">
        <f>function!H21</f>
        <v>0</v>
      </c>
      <c r="I52" s="11"/>
    </row>
    <row r="53" spans="7:10" x14ac:dyDescent="0.25">
      <c r="G53" t="str">
        <f>function!G22</f>
        <v>uint8_t</v>
      </c>
      <c r="H53" t="str">
        <f>function!H22</f>
        <v>dataBufferLen</v>
      </c>
      <c r="I53" s="13" t="s">
        <v>66</v>
      </c>
    </row>
    <row r="54" spans="7:10" x14ac:dyDescent="0.25">
      <c r="G54" t="str">
        <f>function!G23</f>
        <v>uint8_t *</v>
      </c>
      <c r="H54" t="str">
        <f>function!H23</f>
        <v>dataBuffer</v>
      </c>
      <c r="I54" s="10" t="s">
        <v>117</v>
      </c>
    </row>
    <row r="55" spans="7:10" x14ac:dyDescent="0.25">
      <c r="G55" t="str">
        <f>function!G24</f>
        <v>uint8_t</v>
      </c>
      <c r="H55" s="9" t="str">
        <f>function!H24</f>
        <v>timeOnAirTimerId</v>
      </c>
      <c r="I55" s="13" t="s">
        <v>66</v>
      </c>
    </row>
    <row r="56" spans="7:10" x14ac:dyDescent="0.25">
      <c r="G56" t="str">
        <f>function!G25</f>
        <v>uint8_t</v>
      </c>
      <c r="H56" s="9" t="str">
        <f>function!H25</f>
        <v>fskRxWindowTimerId</v>
      </c>
      <c r="I56" s="13" t="s">
        <v>66</v>
      </c>
      <c r="J56" s="9" t="s">
        <v>2</v>
      </c>
    </row>
    <row r="57" spans="7:10" x14ac:dyDescent="0.25">
      <c r="G57" t="str">
        <f>function!G26</f>
        <v>uint8_t</v>
      </c>
      <c r="H57" s="9" t="str">
        <f>function!H26</f>
        <v>watchdogTimerId</v>
      </c>
      <c r="I57" s="13" t="s">
        <v>66</v>
      </c>
      <c r="J57" s="9" t="s">
        <v>4</v>
      </c>
    </row>
    <row r="58" spans="7:10" x14ac:dyDescent="0.25">
      <c r="G58" t="str">
        <f>function!G27</f>
        <v>uint32_t</v>
      </c>
      <c r="H58" t="str">
        <f>function!H27</f>
        <v>watchdogTimerTimeout</v>
      </c>
      <c r="I58" s="10" t="s">
        <v>62</v>
      </c>
    </row>
    <row r="59" spans="7:10" x14ac:dyDescent="0.25">
      <c r="G59" t="str">
        <f>function!G28</f>
        <v>uint8_t</v>
      </c>
      <c r="H59" t="str">
        <f>function!H28</f>
        <v>initialized</v>
      </c>
      <c r="I59" s="10">
        <v>1</v>
      </c>
    </row>
    <row r="60" spans="7:10" x14ac:dyDescent="0.25">
      <c r="G60" t="str">
        <f>function!G29</f>
        <v>uint32_t</v>
      </c>
      <c r="H60" t="str">
        <f>function!H29</f>
        <v>fhssNextFrequency</v>
      </c>
      <c r="I60" s="10" t="s">
        <v>67</v>
      </c>
    </row>
    <row r="61" spans="7:10" x14ac:dyDescent="0.25">
      <c r="G61" t="str">
        <f>function!G30</f>
        <v>uint8_t</v>
      </c>
      <c r="H61" t="str">
        <f>function!H30</f>
        <v>regVersion</v>
      </c>
      <c r="I61" s="10" t="s">
        <v>127</v>
      </c>
    </row>
    <row r="62" spans="7:10" x14ac:dyDescent="0.25">
      <c r="G62" t="str">
        <f>function!G31</f>
        <v>int8_t</v>
      </c>
      <c r="H62" t="str">
        <f>function!H31</f>
        <v>packetSNR</v>
      </c>
      <c r="I62" s="10">
        <v>-128</v>
      </c>
    </row>
    <row r="63" spans="7:10" x14ac:dyDescent="0.25">
      <c r="G63" t="str">
        <f>function!G32</f>
        <v>RadioFSKShaping_t</v>
      </c>
      <c r="H63" t="str">
        <f>function!H32</f>
        <v>fskDataShaping</v>
      </c>
      <c r="I63" s="10" t="s">
        <v>63</v>
      </c>
    </row>
    <row r="64" spans="7:10" x14ac:dyDescent="0.25">
      <c r="G64" t="str">
        <f>function!G33</f>
        <v>RadioFSKBandWidth_t</v>
      </c>
      <c r="H64" t="str">
        <f>function!H33</f>
        <v>rxBw</v>
      </c>
      <c r="I64" s="10" t="s">
        <v>64</v>
      </c>
    </row>
    <row r="65" spans="7:10" x14ac:dyDescent="0.25">
      <c r="G65" t="str">
        <f>function!G34</f>
        <v>RadioFSKBandWidth_t</v>
      </c>
      <c r="H65" t="str">
        <f>function!H34</f>
        <v>afcBw</v>
      </c>
      <c r="I65" s="10" t="s">
        <v>65</v>
      </c>
    </row>
    <row r="66" spans="7:10" x14ac:dyDescent="0.25">
      <c r="G66">
        <f>function!G35</f>
        <v>0</v>
      </c>
      <c r="H66">
        <f>function!H35</f>
        <v>0</v>
      </c>
      <c r="I66" s="2">
        <f>function!I35</f>
        <v>0</v>
      </c>
    </row>
    <row r="67" spans="7:10" x14ac:dyDescent="0.25">
      <c r="G67">
        <f>function!G36</f>
        <v>0</v>
      </c>
      <c r="H67">
        <f>function!H36</f>
        <v>0</v>
      </c>
      <c r="I67" s="2">
        <f>function!I36</f>
        <v>0</v>
      </c>
    </row>
    <row r="68" spans="7:10" x14ac:dyDescent="0.25">
      <c r="G68">
        <f>function!G37</f>
        <v>0</v>
      </c>
      <c r="H68">
        <f>function!H37</f>
        <v>0</v>
      </c>
      <c r="I68" s="2">
        <f>function!I37</f>
        <v>0</v>
      </c>
    </row>
    <row r="69" spans="7:10" x14ac:dyDescent="0.25">
      <c r="G69" t="str">
        <f>function!B38</f>
        <v>ChannelParams_t</v>
      </c>
      <c r="H69" t="str">
        <f>function!C38</f>
        <v>Channels</v>
      </c>
      <c r="I69" s="15" t="s">
        <v>129</v>
      </c>
      <c r="J69">
        <f>function!E38</f>
        <v>0</v>
      </c>
    </row>
    <row r="70" spans="7:10" x14ac:dyDescent="0.25">
      <c r="G70" t="str">
        <f>function!B39</f>
        <v>uint8_t</v>
      </c>
      <c r="H70" t="str">
        <f>function!C39</f>
        <v>maxPayloadSize[]</v>
      </c>
      <c r="I70" s="2" t="str">
        <f>function!D39</f>
        <v>MAX_EU_SINGLE_BAND_CHANNELS</v>
      </c>
      <c r="J70">
        <f>function!E39</f>
        <v>0</v>
      </c>
    </row>
    <row r="71" spans="7:10" x14ac:dyDescent="0.25">
      <c r="G71" t="str">
        <f>function!B40</f>
        <v>uint8_t</v>
      </c>
      <c r="H71" t="str">
        <f>function!C40</f>
        <v>modulation[]</v>
      </c>
      <c r="I71" s="2">
        <f>function!D40</f>
        <v>0</v>
      </c>
      <c r="J71">
        <f>function!E40</f>
        <v>0</v>
      </c>
    </row>
    <row r="72" spans="7:10" x14ac:dyDescent="0.25">
      <c r="G72" t="str">
        <f>function!B41</f>
        <v>uint8_t</v>
      </c>
      <c r="H72" t="str">
        <f>function!C41</f>
        <v>spreadingFactor[]</v>
      </c>
      <c r="I72" s="2">
        <f>function!D41</f>
        <v>0</v>
      </c>
      <c r="J72">
        <f>function!E41</f>
        <v>0</v>
      </c>
    </row>
    <row r="73" spans="7:10" x14ac:dyDescent="0.25">
      <c r="G73" t="str">
        <f>function!B42</f>
        <v>uint8_t</v>
      </c>
      <c r="H73" t="str">
        <f>function!C42</f>
        <v>bandwidth[]</v>
      </c>
      <c r="I73" s="2">
        <f>function!D42</f>
        <v>0</v>
      </c>
      <c r="J73">
        <f>function!E42</f>
        <v>0</v>
      </c>
    </row>
    <row r="74" spans="7:10" x14ac:dyDescent="0.25">
      <c r="G74" t="str">
        <f>function!B43</f>
        <v>uint8_t</v>
      </c>
      <c r="H74" t="str">
        <f>function!C43</f>
        <v>txPower868[]</v>
      </c>
      <c r="I74" s="2">
        <f>function!D43</f>
        <v>0</v>
      </c>
      <c r="J74">
        <f>function!E43</f>
        <v>0</v>
      </c>
    </row>
    <row r="75" spans="7:10" x14ac:dyDescent="0.25">
      <c r="G75" t="str">
        <f>function!B44</f>
        <v>uint8_t</v>
      </c>
      <c r="H75" t="str">
        <f>function!C44</f>
        <v>LoRa_radioBuffer[]</v>
      </c>
      <c r="I75" s="2" t="str">
        <f>function!D44</f>
        <v>MAXIMUM_BUFFER_LENGTH</v>
      </c>
      <c r="J75">
        <f>function!E44</f>
        <v>0</v>
      </c>
    </row>
    <row r="76" spans="7:10" x14ac:dyDescent="0.25">
      <c r="G76">
        <f>function!B45</f>
        <v>0</v>
      </c>
      <c r="H76">
        <f>function!C45</f>
        <v>0</v>
      </c>
      <c r="I76" s="2">
        <f>function!D45</f>
        <v>0</v>
      </c>
      <c r="J76">
        <f>function!E45</f>
        <v>0</v>
      </c>
    </row>
    <row r="77" spans="7:10" x14ac:dyDescent="0.25">
      <c r="G77">
        <f>function!B46</f>
        <v>0</v>
      </c>
      <c r="H77">
        <f>function!C46</f>
        <v>0</v>
      </c>
      <c r="I77" s="2">
        <f>function!D46</f>
        <v>0</v>
      </c>
      <c r="J77">
        <f>function!E46</f>
        <v>0</v>
      </c>
    </row>
    <row r="78" spans="7:10" x14ac:dyDescent="0.25">
      <c r="G78">
        <f>function!B47</f>
        <v>0</v>
      </c>
      <c r="H78">
        <f>function!C47</f>
        <v>0</v>
      </c>
      <c r="I78" s="2">
        <f>function!D47</f>
        <v>0</v>
      </c>
      <c r="J78">
        <f>function!E47</f>
        <v>0</v>
      </c>
    </row>
    <row r="79" spans="7:10" x14ac:dyDescent="0.25">
      <c r="G79">
        <f>function!B48</f>
        <v>0</v>
      </c>
      <c r="H79" t="str">
        <f>function!C48</f>
        <v>DATA</v>
      </c>
      <c r="I79" s="2">
        <f>function!D48</f>
        <v>0</v>
      </c>
      <c r="J79">
        <f>function!E48</f>
        <v>0</v>
      </c>
    </row>
  </sheetData>
  <phoneticPr fontId="2" type="noConversion"/>
  <hyperlinks>
    <hyperlink ref="C14" location="LoRa_Reset!C1" display="LoRa_Reset" xr:uid="{BE60185B-BD8E-4466-BA6A-37B16B283BD9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F2C22-FC96-4DF5-A214-3DA283D6A12F}">
  <sheetPr codeName="Arkusz3"/>
  <dimension ref="B1:K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3:10" x14ac:dyDescent="0.25">
      <c r="C1" s="4" t="s">
        <v>199</v>
      </c>
      <c r="I1" s="2" t="s">
        <v>3</v>
      </c>
    </row>
    <row r="3" spans="3:10" x14ac:dyDescent="0.25">
      <c r="C3" t="str">
        <f>LoRa_System_Init!C3</f>
        <v>LoRa_transmitStatus</v>
      </c>
      <c r="D3" s="2" t="str">
        <f>I3</f>
        <v>LoRa_Idle</v>
      </c>
      <c r="E3">
        <f>LoRa_System_Init!E3</f>
        <v>0</v>
      </c>
      <c r="F3">
        <f>LoRa_System_Init!F3</f>
        <v>0</v>
      </c>
      <c r="G3" t="str">
        <f>LoRa_System_Init!G3</f>
        <v>LoRaMacState_t</v>
      </c>
      <c r="H3" t="str">
        <f>LoRa_System_Init!H3</f>
        <v>LoRa_transmitStatus</v>
      </c>
      <c r="I3" s="2" t="str">
        <f>LoRa_System_Init!I3</f>
        <v>LoRa_Idle</v>
      </c>
      <c r="J3">
        <f>LoRa_System_Init!J3</f>
        <v>0</v>
      </c>
    </row>
    <row r="4" spans="3:10" x14ac:dyDescent="0.25">
      <c r="C4" t="str">
        <f>LoRa_System_Init!C4</f>
        <v>LoRa_StatusDanych</v>
      </c>
      <c r="D4" s="2" t="str">
        <f>I4</f>
        <v>LoRa_transmitIdle</v>
      </c>
      <c r="E4">
        <f>LoRa_System_Init!E4</f>
        <v>0</v>
      </c>
      <c r="F4">
        <f>LoRa_System_Init!F4</f>
        <v>0</v>
      </c>
      <c r="G4" t="str">
        <f>LoRa_System_Init!G4</f>
        <v>LoRaStatus_t</v>
      </c>
      <c r="H4" t="str">
        <f>LoRa_System_Init!H4</f>
        <v>LoRa_StatusDanych</v>
      </c>
      <c r="I4" s="2" t="str">
        <f>LoRa_System_Init!I4</f>
        <v>LoRa_transmitIdle</v>
      </c>
      <c r="J4">
        <f>LoRa_System_Init!J4</f>
        <v>0</v>
      </c>
    </row>
    <row r="5" spans="3:10" x14ac:dyDescent="0.25">
      <c r="C5" t="str">
        <f>LoRa_System_Init!C5</f>
        <v>flags</v>
      </c>
      <c r="D5" s="2" t="str">
        <f>I47</f>
        <v>0</v>
      </c>
      <c r="E5">
        <f>LoRa_System_Init!E5</f>
        <v>0</v>
      </c>
      <c r="F5">
        <f>LoRa_System_Init!F5</f>
        <v>0</v>
      </c>
      <c r="G5" t="str">
        <f>LoRa_System_Init!G5</f>
        <v>bool</v>
      </c>
      <c r="H5" t="str">
        <f>LoRa_System_Init!H5</f>
        <v>LoRa_initialised</v>
      </c>
      <c r="I5" s="2" t="str">
        <f>LoRa_System_Init!I5</f>
        <v>ENABLED</v>
      </c>
      <c r="J5">
        <f>LoRa_System_Init!J5</f>
        <v>0</v>
      </c>
    </row>
    <row r="6" spans="3:10" x14ac:dyDescent="0.25">
      <c r="C6">
        <f>LoRa_System_Init!C6</f>
        <v>0</v>
      </c>
      <c r="D6" s="2">
        <f>LoRa_System_Init!D6</f>
        <v>0</v>
      </c>
      <c r="E6">
        <f>LoRa_System_Init!E6</f>
        <v>0</v>
      </c>
      <c r="F6">
        <f>LoRa_System_Init!F6</f>
        <v>0</v>
      </c>
      <c r="G6" t="str">
        <f>LoRa_System_Init!G6</f>
        <v>FCnt_t</v>
      </c>
      <c r="H6" t="str">
        <f>LoRa_System_Init!H6</f>
        <v>LoRa_Counter</v>
      </c>
      <c r="I6" s="2" t="str">
        <f>LoRa_System_Init!I6</f>
        <v>0</v>
      </c>
      <c r="J6">
        <f>LoRa_System_Init!J6</f>
        <v>0</v>
      </c>
    </row>
    <row r="7" spans="3:10" x14ac:dyDescent="0.25">
      <c r="C7" s="16"/>
      <c r="D7" s="25"/>
      <c r="E7" s="17"/>
      <c r="F7" s="18"/>
      <c r="G7" t="str">
        <f>LoRa_System_Init!G7</f>
        <v>uint8_t</v>
      </c>
      <c r="H7" t="str">
        <f>LoRa_System_Init!H7</f>
        <v>LoRa_Addres</v>
      </c>
      <c r="I7" s="2" t="str">
        <f>LoRa_System_Init!I7</f>
        <v>LoRaDeviceAddress</v>
      </c>
      <c r="J7">
        <f>LoRa_System_Init!J7</f>
        <v>0</v>
      </c>
    </row>
    <row r="8" spans="3:10" x14ac:dyDescent="0.25">
      <c r="C8" s="19"/>
      <c r="D8" s="26"/>
      <c r="E8" s="20"/>
      <c r="F8" s="21"/>
      <c r="G8" t="str">
        <f>LoRa_System_Init!G8</f>
        <v>uint8_t</v>
      </c>
      <c r="H8" t="str">
        <f>LoRa_System_Init!H8</f>
        <v>LoRa_TimerHandshaking</v>
      </c>
      <c r="I8" s="45" t="s">
        <v>66</v>
      </c>
      <c r="J8" t="str">
        <f>LoRa_System_Init!J8</f>
        <v>LoRa_TimerHandshakingCallback</v>
      </c>
    </row>
    <row r="9" spans="3:10" x14ac:dyDescent="0.25">
      <c r="C9" s="19"/>
      <c r="D9" s="26"/>
      <c r="E9" s="20"/>
      <c r="F9" s="21"/>
      <c r="G9" t="str">
        <f>LoRa_System_Init!G9</f>
        <v>uint8_t</v>
      </c>
      <c r="H9" t="str">
        <f>LoRa_System_Init!H9</f>
        <v>LoRa_TimerRetransmit</v>
      </c>
      <c r="I9" s="45" t="s">
        <v>66</v>
      </c>
      <c r="J9" t="str">
        <f>LoRa_System_Init!J9</f>
        <v>LoRa_TimerRetransmitCallback</v>
      </c>
    </row>
    <row r="10" spans="3:10" x14ac:dyDescent="0.25">
      <c r="C10" s="41" t="s">
        <v>68</v>
      </c>
      <c r="D10" s="37" t="s">
        <v>41</v>
      </c>
      <c r="E10" s="20"/>
      <c r="F10" s="51" t="s">
        <v>230</v>
      </c>
      <c r="G10" t="str">
        <f>LoRa_System_Init!G10</f>
        <v>uint8_t</v>
      </c>
      <c r="H10" t="str">
        <f>LoRa_System_Init!H10</f>
        <v>LoRa_TimerWaitAck</v>
      </c>
      <c r="I10" s="45" t="s">
        <v>66</v>
      </c>
      <c r="J10" t="str">
        <f>LoRa_System_Init!J10</f>
        <v>LoRa_TimerWaitAckCallback</v>
      </c>
    </row>
    <row r="11" spans="3:10" x14ac:dyDescent="0.25">
      <c r="C11" s="33" t="s">
        <v>200</v>
      </c>
      <c r="D11" s="26"/>
      <c r="E11" s="20"/>
      <c r="F11" s="50" t="s">
        <v>230</v>
      </c>
      <c r="G11" t="str">
        <f>LoRa_System_Init!G11</f>
        <v>uint8_t</v>
      </c>
      <c r="H11" t="str">
        <f>LoRa_System_Init!H11</f>
        <v>LoRa_HeaderBufor</v>
      </c>
      <c r="I11" s="2">
        <f>LoRa_System_Init!I11</f>
        <v>0</v>
      </c>
      <c r="J11">
        <f>LoRa_System_Init!J11</f>
        <v>0</v>
      </c>
    </row>
    <row r="12" spans="3:10" x14ac:dyDescent="0.25">
      <c r="C12" s="43" t="s">
        <v>1</v>
      </c>
      <c r="D12" s="44" t="s">
        <v>117</v>
      </c>
      <c r="E12" s="47" t="s">
        <v>40</v>
      </c>
      <c r="F12" s="49" t="s">
        <v>230</v>
      </c>
      <c r="G12" t="str">
        <f>LoRa_System_Init!G12</f>
        <v>uint8_t</v>
      </c>
      <c r="H12" t="str">
        <f>LoRa_System_Init!H12</f>
        <v>LoRa_HeaderLength</v>
      </c>
      <c r="I12" s="2">
        <f>LoRa_System_Init!I12</f>
        <v>0</v>
      </c>
      <c r="J12">
        <f>LoRa_System_Init!J12</f>
        <v>0</v>
      </c>
    </row>
    <row r="13" spans="3:10" x14ac:dyDescent="0.25">
      <c r="C13" s="19"/>
      <c r="D13" s="26"/>
      <c r="E13" s="20"/>
      <c r="F13" s="21"/>
      <c r="G13" t="str">
        <f>LoRa_System_Init!G13</f>
        <v>uint8_t</v>
      </c>
      <c r="H13" t="str">
        <f>LoRa_System_Init!H13</f>
        <v>LoRa_Bufor</v>
      </c>
      <c r="I13" s="2">
        <f>LoRa_System_Init!I13</f>
        <v>0</v>
      </c>
      <c r="J13">
        <f>LoRa_System_Init!J13</f>
        <v>0</v>
      </c>
    </row>
    <row r="14" spans="3:10" x14ac:dyDescent="0.25">
      <c r="C14" s="19"/>
      <c r="D14" s="26"/>
      <c r="E14" s="20"/>
      <c r="F14" s="21"/>
      <c r="G14" t="str">
        <f>LoRa_System_Init!G14</f>
        <v>uint8_t</v>
      </c>
      <c r="H14" t="str">
        <f>LoRa_System_Init!H14</f>
        <v>LoRa_BuforLength</v>
      </c>
      <c r="I14" s="2">
        <f>LoRa_System_Init!I14</f>
        <v>0</v>
      </c>
      <c r="J14">
        <f>LoRa_System_Init!J14</f>
        <v>0</v>
      </c>
    </row>
    <row r="15" spans="3:10" x14ac:dyDescent="0.25">
      <c r="C15" s="19"/>
      <c r="D15" s="26"/>
      <c r="E15" s="20"/>
      <c r="F15" s="21"/>
      <c r="G15" t="str">
        <f>LoRa_System_Init!G15</f>
        <v>uint8_t</v>
      </c>
      <c r="H15" t="str">
        <f>LoRa_System_Init!H15</f>
        <v>LoRa_Command</v>
      </c>
      <c r="I15" s="2">
        <f>LoRa_System_Init!I15</f>
        <v>0</v>
      </c>
      <c r="J15">
        <f>LoRa_System_Init!J15</f>
        <v>0</v>
      </c>
    </row>
    <row r="16" spans="3:10" x14ac:dyDescent="0.25">
      <c r="C16" s="19"/>
      <c r="D16" s="26"/>
      <c r="E16" s="20"/>
      <c r="F16" s="21"/>
      <c r="G16" t="str">
        <f>LoRa_System_Init!G16</f>
        <v>uint8_t</v>
      </c>
      <c r="H16" t="str">
        <f>LoRa_System_Init!H16</f>
        <v>LoRa_maxChannels</v>
      </c>
      <c r="I16" s="39" t="s">
        <v>75</v>
      </c>
      <c r="J16">
        <f>LoRa_System_Init!J16</f>
        <v>0</v>
      </c>
    </row>
    <row r="17" spans="2:10" x14ac:dyDescent="0.25">
      <c r="C17" s="19"/>
      <c r="D17" s="26"/>
      <c r="E17" s="20"/>
      <c r="F17" s="21"/>
      <c r="G17" t="str">
        <f>LoRa_System_Init!G17</f>
        <v>uint8_t</v>
      </c>
      <c r="H17" t="str">
        <f>LoRa_System_Init!H17</f>
        <v>LoRa_lastUsedChannelIndex</v>
      </c>
      <c r="I17" s="2">
        <f>LoRa_System_Init!I17</f>
        <v>0</v>
      </c>
      <c r="J17">
        <f>LoRa_System_Init!J17</f>
        <v>0</v>
      </c>
    </row>
    <row r="18" spans="2:10" x14ac:dyDescent="0.25">
      <c r="C18" s="19"/>
      <c r="D18" s="26"/>
      <c r="E18" s="20"/>
      <c r="F18" s="21"/>
      <c r="G18" t="str">
        <f>LoRa_System_Init!G18</f>
        <v>ReceiveWindowParameters_t</v>
      </c>
      <c r="H18" t="str">
        <f>LoRa_System_Init!H18</f>
        <v>LoRa_ch0_params.frequency</v>
      </c>
      <c r="I18" s="2" t="str">
        <f>LoRa_System_Init!I18</f>
        <v>LoRa_CH0_frequency</v>
      </c>
      <c r="J18">
        <f>LoRa_System_Init!J18</f>
        <v>0</v>
      </c>
    </row>
    <row r="19" spans="2:10" x14ac:dyDescent="0.25">
      <c r="C19" s="19"/>
      <c r="D19" s="26"/>
      <c r="E19" s="20"/>
      <c r="F19" s="21"/>
      <c r="G19">
        <f>LoRa_System_Init!G19</f>
        <v>0</v>
      </c>
      <c r="H19" t="str">
        <f>LoRa_System_Init!H19</f>
        <v>LoRa_ch0_params.datarate</v>
      </c>
      <c r="I19" s="2" t="str">
        <f>LoRa_System_Init!I19</f>
        <v>LoRa_CH0_datarate</v>
      </c>
      <c r="J19">
        <f>LoRa_System_Init!J19</f>
        <v>0</v>
      </c>
    </row>
    <row r="20" spans="2:10" x14ac:dyDescent="0.25">
      <c r="C20" s="29" t="s">
        <v>16</v>
      </c>
      <c r="D20" s="26"/>
      <c r="E20" s="20"/>
      <c r="F20" s="21"/>
      <c r="G20" t="str">
        <f>LoRa_System_Init!G20</f>
        <v>ReceiveWindowParameters_t</v>
      </c>
      <c r="H20" t="str">
        <f>LoRa_System_Init!H20</f>
        <v>LoRa_receiveChannelParameters.frequency</v>
      </c>
      <c r="I20" s="2">
        <f>LoRa_System_Init!I20</f>
        <v>0</v>
      </c>
      <c r="J20">
        <f>LoRa_System_Init!J20</f>
        <v>0</v>
      </c>
    </row>
    <row r="21" spans="2:10" x14ac:dyDescent="0.25">
      <c r="C21" s="19"/>
      <c r="D21" s="26"/>
      <c r="E21" s="20"/>
      <c r="F21" s="21"/>
      <c r="G21">
        <f>LoRa_System_Init!G21</f>
        <v>0</v>
      </c>
      <c r="H21" t="str">
        <f>LoRa_System_Init!H21</f>
        <v>LoRa_receiveChannelParameters.dataRate</v>
      </c>
      <c r="I21" s="2">
        <f>LoRa_System_Init!I21</f>
        <v>0</v>
      </c>
      <c r="J21">
        <f>LoRa_System_Init!J21</f>
        <v>0</v>
      </c>
    </row>
    <row r="22" spans="2:10" x14ac:dyDescent="0.25">
      <c r="C22" s="19"/>
      <c r="D22" s="26"/>
      <c r="E22" s="20"/>
      <c r="F22" s="21"/>
      <c r="G22" t="str">
        <f>LoRa_System_Init!G22</f>
        <v>ReceiveWindowParameters_t</v>
      </c>
      <c r="H22" t="str">
        <f>LoRa_System_Init!H22</f>
        <v>LoRa_sendChannelParameters.frequency</v>
      </c>
      <c r="I22" s="2">
        <f>LoRa_System_Init!I22</f>
        <v>0</v>
      </c>
      <c r="J22">
        <f>LoRa_System_Init!J22</f>
        <v>0</v>
      </c>
    </row>
    <row r="23" spans="2:10" x14ac:dyDescent="0.25">
      <c r="C23" s="19"/>
      <c r="D23" s="26"/>
      <c r="E23" s="20"/>
      <c r="F23" s="21"/>
      <c r="G23">
        <f>LoRa_System_Init!G23</f>
        <v>0</v>
      </c>
      <c r="H23" t="str">
        <f>LoRa_System_Init!H23</f>
        <v>LoRa_sendChannelParameters.dataRate</v>
      </c>
      <c r="I23" s="2">
        <f>LoRa_System_Init!I23</f>
        <v>0</v>
      </c>
      <c r="J23">
        <f>LoRa_System_Init!J23</f>
        <v>0</v>
      </c>
    </row>
    <row r="24" spans="2:10" x14ac:dyDescent="0.25">
      <c r="C24" s="22"/>
      <c r="D24" s="27"/>
      <c r="E24" s="23"/>
      <c r="F24" s="24"/>
      <c r="G24" t="str">
        <f>LoRa_System_Init!G24</f>
        <v>uint8_t</v>
      </c>
      <c r="H24" t="str">
        <f>LoRa_System_Init!H24</f>
        <v>LoRa_txPower</v>
      </c>
      <c r="I24" s="39">
        <v>1</v>
      </c>
      <c r="J24">
        <f>LoRa_System_Init!J24</f>
        <v>0</v>
      </c>
    </row>
    <row r="25" spans="2:10" x14ac:dyDescent="0.25">
      <c r="C25" t="str">
        <f>LoRa_System_Init!C25</f>
        <v>DATA</v>
      </c>
      <c r="D25" s="2">
        <f>LoRa_System_Init!D25</f>
        <v>0</v>
      </c>
      <c r="E25">
        <f>LoRa_System_Init!E25</f>
        <v>0</v>
      </c>
      <c r="F25">
        <f>LoRa_System_Init!F25</f>
        <v>0</v>
      </c>
      <c r="G25" t="str">
        <f>LoRa_System_Init!G25</f>
        <v>uint8_t</v>
      </c>
      <c r="H25" t="str">
        <f>LoRa_System_Init!H25</f>
        <v>LoRa_syncWord</v>
      </c>
      <c r="I25" s="39" t="s">
        <v>61</v>
      </c>
      <c r="J25">
        <f>LoRa_System_Init!J25</f>
        <v>0</v>
      </c>
    </row>
    <row r="26" spans="2:10" x14ac:dyDescent="0.25">
      <c r="B26" t="str">
        <f>function!B49</f>
        <v>RADIO</v>
      </c>
      <c r="C26" t="str">
        <f>LoRa_System_Init!C26</f>
        <v>mode</v>
      </c>
      <c r="D26" s="42" t="s">
        <v>124</v>
      </c>
      <c r="E26">
        <f>LoRa_System_Init!E26</f>
        <v>0</v>
      </c>
      <c r="F26">
        <f>LoRa_System_Init!F26</f>
        <v>0</v>
      </c>
      <c r="G26" t="str">
        <f>LoRa_System_Init!G26</f>
        <v>uint8_t</v>
      </c>
      <c r="H26" t="str">
        <f>LoRa_System_Init!H26</f>
        <v>LoRa_batteryLevel</v>
      </c>
      <c r="I26" s="39" t="s">
        <v>71</v>
      </c>
      <c r="J26">
        <f>LoRa_System_Init!J26</f>
        <v>0</v>
      </c>
    </row>
    <row r="27" spans="2:10" x14ac:dyDescent="0.25">
      <c r="B27">
        <f>function!B50</f>
        <v>0</v>
      </c>
      <c r="C27" t="str">
        <f>LoRa_System_Init!C27</f>
        <v>modulation</v>
      </c>
      <c r="D27" s="42" t="s">
        <v>56</v>
      </c>
      <c r="E27">
        <f>LoRa_System_Init!E27</f>
        <v>0</v>
      </c>
      <c r="F27">
        <f>LoRa_System_Init!F27</f>
        <v>0</v>
      </c>
      <c r="G27" t="str">
        <f>LoRa_System_Init!G27</f>
        <v>IsmBand_t</v>
      </c>
      <c r="H27" t="str">
        <f>LoRa_System_Init!H27</f>
        <v>LoRa_ismBand</v>
      </c>
      <c r="I27" s="39" t="s">
        <v>41</v>
      </c>
      <c r="J27">
        <f>LoRa_System_Init!J27</f>
        <v>0</v>
      </c>
    </row>
    <row r="28" spans="2:10" x14ac:dyDescent="0.25">
      <c r="B28">
        <f>function!B51</f>
        <v>0</v>
      </c>
      <c r="C28" t="str">
        <f>LoRa_System_Init!C28</f>
        <v>frequency</v>
      </c>
      <c r="D28" s="42" t="s">
        <v>40</v>
      </c>
      <c r="E28">
        <f>LoRa_System_Init!E28</f>
        <v>0</v>
      </c>
      <c r="F28">
        <f>LoRa_System_Init!F28</f>
        <v>0</v>
      </c>
      <c r="G28" t="str">
        <f>LoRa_System_Init!G28</f>
        <v>uint8_t</v>
      </c>
      <c r="H28" t="str">
        <f>LoRa_System_Init!H28</f>
        <v>LoRa_currentDataRate</v>
      </c>
      <c r="I28" s="39" t="s">
        <v>77</v>
      </c>
      <c r="J28">
        <f>LoRa_System_Init!J28</f>
        <v>0</v>
      </c>
    </row>
    <row r="29" spans="2:10" x14ac:dyDescent="0.25">
      <c r="B29">
        <f>function!B52</f>
        <v>0</v>
      </c>
      <c r="C29" t="str">
        <f>LoRa_System_Init!C29</f>
        <v>payload</v>
      </c>
      <c r="D29" s="42" t="s">
        <v>126</v>
      </c>
      <c r="E29">
        <f>LoRa_System_Init!E29</f>
        <v>0</v>
      </c>
      <c r="F29">
        <f>LoRa_System_Init!F29</f>
        <v>0</v>
      </c>
      <c r="G29" t="str">
        <f>LoRa_System_Init!G29</f>
        <v>uint8_t</v>
      </c>
      <c r="H29" t="str">
        <f>LoRa_System_Init!H29</f>
        <v>LoRa_minDataRate</v>
      </c>
      <c r="I29" s="2" t="str">
        <f>LoRa_System_Init!I29</f>
        <v>DR0</v>
      </c>
      <c r="J29">
        <f>LoRa_System_Init!J29</f>
        <v>0</v>
      </c>
    </row>
    <row r="30" spans="2:10" x14ac:dyDescent="0.25">
      <c r="B30">
        <f>function!B53</f>
        <v>0</v>
      </c>
      <c r="C30" t="str">
        <f>LoRa_System_Init!C30</f>
        <v>power</v>
      </c>
      <c r="D30" s="2">
        <f>LoRa_System_Init!D30</f>
        <v>0</v>
      </c>
      <c r="E30">
        <f>LoRa_System_Init!E30</f>
        <v>0</v>
      </c>
      <c r="F30">
        <f>LoRa_System_Init!F30</f>
        <v>0</v>
      </c>
      <c r="G30" t="str">
        <f>LoRa_System_Init!G30</f>
        <v>uint8_t</v>
      </c>
      <c r="H30" t="str">
        <f>LoRa_System_Init!H30</f>
        <v>LoRa_maxDataRate</v>
      </c>
      <c r="I30" s="2" t="str">
        <f>LoRa_System_Init!I30</f>
        <v>DR7</v>
      </c>
      <c r="J30">
        <f>LoRa_System_Init!J30</f>
        <v>0</v>
      </c>
    </row>
    <row r="31" spans="2:10" x14ac:dyDescent="0.25">
      <c r="B31">
        <f>function!B54</f>
        <v>0</v>
      </c>
      <c r="C31" t="str">
        <f>LoRa_System_Init!C31</f>
        <v>SpreadingFactor</v>
      </c>
      <c r="D31" s="2">
        <f>LoRa_System_Init!D31</f>
        <v>0</v>
      </c>
      <c r="E31">
        <f>LoRa_System_Init!E31</f>
        <v>0</v>
      </c>
      <c r="F31">
        <f>LoRa_System_Init!F31</f>
        <v>0</v>
      </c>
      <c r="G31" t="str">
        <f>LoRa_System_Init!G31</f>
        <v>uint8_t</v>
      </c>
      <c r="H31" t="str">
        <f>LoRa_System_Init!H31</f>
        <v>LoRa_nextUsedChannel</v>
      </c>
      <c r="I31" s="2">
        <f>LoRa_System_Init!I31</f>
        <v>0</v>
      </c>
      <c r="J31">
        <f>LoRa_System_Init!J31</f>
        <v>0</v>
      </c>
    </row>
    <row r="32" spans="2:10" x14ac:dyDescent="0.25">
      <c r="B32">
        <f>function!B55</f>
        <v>0</v>
      </c>
      <c r="C32" t="str">
        <f>LoRa_System_Init!C32</f>
        <v>Bandwidth</v>
      </c>
      <c r="D32" s="2">
        <f>LoRa_System_Init!D32</f>
        <v>0</v>
      </c>
      <c r="E32">
        <f>LoRa_System_Init!E32</f>
        <v>0</v>
      </c>
      <c r="F32">
        <f>LoRa_System_Init!F32</f>
        <v>0</v>
      </c>
      <c r="G32">
        <f>LoRa_System_Init!G32</f>
        <v>0</v>
      </c>
      <c r="H32">
        <f>LoRa_System_Init!H32</f>
        <v>0</v>
      </c>
      <c r="I32" s="2">
        <f>LoRa_System_Init!I32</f>
        <v>0</v>
      </c>
      <c r="J32">
        <f>LoRa_System_Init!J32</f>
        <v>0</v>
      </c>
    </row>
    <row r="33" spans="2:11" x14ac:dyDescent="0.25">
      <c r="B33">
        <f>function!B56</f>
        <v>0</v>
      </c>
      <c r="C33" t="str">
        <f>LoRa_System_Init!C33</f>
        <v>SyncWord</v>
      </c>
      <c r="D33" s="2" t="str">
        <f>LoRa_System_Init!D33</f>
        <v>LoRa_syncWord</v>
      </c>
      <c r="E33">
        <f>LoRa_System_Init!E33</f>
        <v>0</v>
      </c>
      <c r="F33">
        <f>LoRa_System_Init!F33</f>
        <v>0</v>
      </c>
      <c r="G33">
        <f>LoRa_System_Init!G33</f>
        <v>0</v>
      </c>
      <c r="H33">
        <f>LoRa_System_Init!H33</f>
        <v>0</v>
      </c>
      <c r="I33" s="2">
        <f>LoRa_System_Init!I33</f>
        <v>0</v>
      </c>
      <c r="J33">
        <f>LoRa_System_Init!J33</f>
        <v>0</v>
      </c>
    </row>
    <row r="34" spans="2:11" x14ac:dyDescent="0.25">
      <c r="B34">
        <f>function!B57</f>
        <v>0</v>
      </c>
      <c r="C34" t="str">
        <f>LoRa_System_Init!C34</f>
        <v>CRC</v>
      </c>
      <c r="D34" s="2">
        <f>LoRa_System_Init!D34</f>
        <v>0</v>
      </c>
      <c r="E34">
        <f>LoRa_System_Init!E34</f>
        <v>0</v>
      </c>
      <c r="F34">
        <f>LoRa_System_Init!F34</f>
        <v>0</v>
      </c>
      <c r="G34" t="str">
        <f>LoRa_System_Init!G34</f>
        <v>uint32_t</v>
      </c>
      <c r="H34" t="str">
        <f>LoRa_System_Init!H34</f>
        <v>frequency</v>
      </c>
      <c r="I34" s="42" t="s">
        <v>40</v>
      </c>
      <c r="J34">
        <f>LoRa_System_Init!J34</f>
        <v>0</v>
      </c>
    </row>
    <row r="35" spans="2:11" x14ac:dyDescent="0.25">
      <c r="B35">
        <f>function!B58</f>
        <v>0</v>
      </c>
      <c r="C35" t="str">
        <f>LoRa_System_Init!C35</f>
        <v>IQInverted</v>
      </c>
      <c r="D35" s="2">
        <f>LoRa_System_Init!D35</f>
        <v>0</v>
      </c>
      <c r="E35">
        <f>LoRa_System_Init!E35</f>
        <v>0</v>
      </c>
      <c r="F35">
        <f>LoRa_System_Init!F35</f>
        <v>0</v>
      </c>
      <c r="G35" t="str">
        <f>LoRa_System_Init!G35</f>
        <v>uint32_t</v>
      </c>
      <c r="H35" t="str">
        <f>LoRa_System_Init!H35</f>
        <v>frequencyDeviation</v>
      </c>
      <c r="I35" s="42">
        <v>25000</v>
      </c>
      <c r="J35">
        <f>LoRa_System_Init!J35</f>
        <v>0</v>
      </c>
    </row>
    <row r="36" spans="2:11" x14ac:dyDescent="0.25">
      <c r="B36">
        <f>function!B59</f>
        <v>0</v>
      </c>
      <c r="C36" t="str">
        <f>LoRa_System_Init!C36</f>
        <v>HopPeriod</v>
      </c>
      <c r="D36" s="2">
        <f>LoRa_System_Init!D36</f>
        <v>0</v>
      </c>
      <c r="E36">
        <f>LoRa_System_Init!E36</f>
        <v>0</v>
      </c>
      <c r="F36">
        <f>LoRa_System_Init!F36</f>
        <v>0</v>
      </c>
      <c r="G36" t="str">
        <f>LoRa_System_Init!G36</f>
        <v>uint32_t</v>
      </c>
      <c r="H36" t="str">
        <f>LoRa_System_Init!H36</f>
        <v>bitRate</v>
      </c>
      <c r="I36" s="42">
        <v>50000</v>
      </c>
      <c r="J36">
        <f>LoRa_System_Init!J36</f>
        <v>0</v>
      </c>
    </row>
    <row r="37" spans="2:11" x14ac:dyDescent="0.25">
      <c r="C37" t="str">
        <f>LoRa_System_Init!C37</f>
        <v>errorCodingRate</v>
      </c>
      <c r="D37" s="2">
        <f>LoRa_System_Init!D37</f>
        <v>0</v>
      </c>
      <c r="E37">
        <f>LoRa_System_Init!E37</f>
        <v>0</v>
      </c>
      <c r="F37">
        <f>LoRa_System_Init!F37</f>
        <v>0</v>
      </c>
      <c r="G37" t="str">
        <f>LoRa_System_Init!G37</f>
        <v>uint16_t</v>
      </c>
      <c r="H37" t="str">
        <f>LoRa_System_Init!H37</f>
        <v>preambleLen</v>
      </c>
      <c r="I37" s="42">
        <v>8</v>
      </c>
      <c r="J37">
        <f>LoRa_System_Init!J37</f>
        <v>0</v>
      </c>
    </row>
    <row r="38" spans="2:11" x14ac:dyDescent="0.25">
      <c r="C38" t="str">
        <f>LoRa_System_Init!C38</f>
        <v>implicitHeaderMode</v>
      </c>
      <c r="D38" s="2">
        <f>LoRa_System_Init!D38</f>
        <v>0</v>
      </c>
      <c r="E38">
        <f>LoRa_System_Init!E38</f>
        <v>0</v>
      </c>
      <c r="F38">
        <f>LoRa_System_Init!F38</f>
        <v>0</v>
      </c>
      <c r="G38" t="str">
        <f>LoRa_System_Init!G38</f>
        <v>uint8_t</v>
      </c>
      <c r="H38" t="str">
        <f>LoRa_System_Init!H38</f>
        <v>syncWordLoRa</v>
      </c>
      <c r="I38" s="42" t="s">
        <v>61</v>
      </c>
      <c r="J38">
        <f>LoRa_System_Init!J38</f>
        <v>0</v>
      </c>
    </row>
    <row r="39" spans="2:11" x14ac:dyDescent="0.25">
      <c r="C39" t="str">
        <f>LoRa_System_Init!C39</f>
        <v>preambleLen</v>
      </c>
      <c r="D39" s="2">
        <f>LoRa_System_Init!D39</f>
        <v>0</v>
      </c>
      <c r="E39">
        <f>LoRa_System_Init!E39</f>
        <v>0</v>
      </c>
      <c r="F39">
        <f>LoRa_System_Init!F39</f>
        <v>0</v>
      </c>
      <c r="G39" t="str">
        <f>LoRa_System_Init!G39</f>
        <v>uint8_t</v>
      </c>
      <c r="H39" t="str">
        <f>LoRa_System_Init!H39</f>
        <v>syncWord</v>
      </c>
      <c r="I39" s="42" t="s">
        <v>60</v>
      </c>
      <c r="J39">
        <f>LoRa_System_Init!J39</f>
        <v>0</v>
      </c>
    </row>
    <row r="40" spans="2:11" x14ac:dyDescent="0.25">
      <c r="C40" t="str">
        <f>LoRa_System_Init!C40</f>
        <v>symbolTimeout</v>
      </c>
      <c r="D40" s="2">
        <f>LoRa_System_Init!D40</f>
        <v>0</v>
      </c>
      <c r="E40">
        <f>LoRa_System_Init!E40</f>
        <v>0</v>
      </c>
      <c r="F40">
        <f>LoRa_System_Init!F40</f>
        <v>0</v>
      </c>
      <c r="G40" t="str">
        <f>LoRa_System_Init!G40</f>
        <v>uint8_t</v>
      </c>
      <c r="H40" t="str">
        <f>LoRa_System_Init!H40</f>
        <v>syncWordLen</v>
      </c>
      <c r="I40" s="42">
        <v>3</v>
      </c>
      <c r="J40">
        <f>LoRa_System_Init!J40</f>
        <v>0</v>
      </c>
    </row>
    <row r="41" spans="2:11" x14ac:dyDescent="0.25">
      <c r="C41" t="str">
        <f>LoRa_System_Init!C41</f>
        <v>FSKfreqDeviation</v>
      </c>
      <c r="D41" s="2">
        <f>LoRa_System_Init!D41</f>
        <v>0</v>
      </c>
      <c r="E41">
        <f>LoRa_System_Init!E41</f>
        <v>0</v>
      </c>
      <c r="F41">
        <f>LoRa_System_Init!F41</f>
        <v>0</v>
      </c>
      <c r="G41" t="str">
        <f>LoRa_System_Init!G41</f>
        <v>RadioModulation_t</v>
      </c>
      <c r="H41" t="str">
        <f>LoRa_System_Init!H41</f>
        <v>modulation</v>
      </c>
      <c r="I41" s="42" t="s">
        <v>56</v>
      </c>
      <c r="J41">
        <f>LoRa_System_Init!J41</f>
        <v>0</v>
      </c>
    </row>
    <row r="42" spans="2:11" x14ac:dyDescent="0.25">
      <c r="C42" t="str">
        <f>LoRa_System_Init!C42</f>
        <v>FSKBitRate</v>
      </c>
      <c r="D42" s="2">
        <f>LoRa_System_Init!D42</f>
        <v>0</v>
      </c>
      <c r="E42">
        <f>LoRa_System_Init!E42</f>
        <v>0</v>
      </c>
      <c r="F42">
        <f>LoRa_System_Init!F42</f>
        <v>0</v>
      </c>
      <c r="G42" t="str">
        <f>LoRa_System_Init!G42</f>
        <v>RadioDataRate_t</v>
      </c>
      <c r="H42" t="str">
        <f>LoRa_System_Init!H42</f>
        <v>dataRate</v>
      </c>
      <c r="I42" s="42" t="s">
        <v>59</v>
      </c>
      <c r="J42">
        <f>LoRa_System_Init!J42</f>
        <v>0</v>
      </c>
    </row>
    <row r="43" spans="2:11" x14ac:dyDescent="0.25">
      <c r="C43" t="str">
        <f>LoRa_System_Init!C43</f>
        <v>FSK_PREAMBLE</v>
      </c>
      <c r="D43" s="2">
        <f>LoRa_System_Init!D43</f>
        <v>0</v>
      </c>
      <c r="E43">
        <f>LoRa_System_Init!E43</f>
        <v>0</v>
      </c>
      <c r="F43">
        <f>LoRa_System_Init!F43</f>
        <v>0</v>
      </c>
      <c r="G43" t="str">
        <f>LoRa_System_Init!G43</f>
        <v>RadioLoRaBandWidth_t</v>
      </c>
      <c r="H43" t="str">
        <f>LoRa_System_Init!H43</f>
        <v>bandWidth</v>
      </c>
      <c r="I43" s="42" t="s">
        <v>57</v>
      </c>
      <c r="J43">
        <f>LoRa_System_Init!J43</f>
        <v>0</v>
      </c>
    </row>
    <row r="44" spans="2:11" x14ac:dyDescent="0.25">
      <c r="C44" t="str">
        <f>LoRa_System_Init!C44</f>
        <v>fskDataShaping</v>
      </c>
      <c r="D44" s="2">
        <f>LoRa_System_Init!D44</f>
        <v>0</v>
      </c>
      <c r="E44">
        <f>LoRa_System_Init!E44</f>
        <v>0</v>
      </c>
      <c r="F44">
        <f>LoRa_System_Init!F44</f>
        <v>0</v>
      </c>
      <c r="G44" t="str">
        <f>LoRa_System_Init!G44</f>
        <v>int8_t</v>
      </c>
      <c r="H44" t="str">
        <f>LoRa_System_Init!H44</f>
        <v>outputPower</v>
      </c>
      <c r="I44" s="42">
        <v>1</v>
      </c>
      <c r="J44">
        <f>LoRa_System_Init!J44</f>
        <v>0</v>
      </c>
    </row>
    <row r="45" spans="2:11" x14ac:dyDescent="0.25">
      <c r="C45">
        <f>LoRa_System_Init!C45</f>
        <v>0</v>
      </c>
      <c r="D45" s="2">
        <f>LoRa_System_Init!D45</f>
        <v>0</v>
      </c>
      <c r="E45">
        <f>LoRa_System_Init!E45</f>
        <v>0</v>
      </c>
      <c r="F45">
        <f>LoRa_System_Init!F45</f>
        <v>0</v>
      </c>
      <c r="G45" t="str">
        <f>LoRa_System_Init!G45</f>
        <v>uint8_t</v>
      </c>
      <c r="H45" t="str">
        <f>LoRa_System_Init!H45</f>
        <v>crcOn</v>
      </c>
      <c r="I45" s="42">
        <v>1</v>
      </c>
      <c r="J45">
        <f>LoRa_System_Init!J45</f>
        <v>0</v>
      </c>
    </row>
    <row r="46" spans="2:11" x14ac:dyDescent="0.25">
      <c r="C46">
        <f>LoRa_System_Init!C46</f>
        <v>0</v>
      </c>
      <c r="D46" s="2">
        <f>LoRa_System_Init!D46</f>
        <v>0</v>
      </c>
      <c r="E46">
        <f>LoRa_System_Init!E46</f>
        <v>0</v>
      </c>
      <c r="F46">
        <f>LoRa_System_Init!F46</f>
        <v>0</v>
      </c>
      <c r="G46" t="str">
        <f>LoRa_System_Init!G46</f>
        <v>uint8_t</v>
      </c>
      <c r="H46" t="str">
        <f>LoRa_System_Init!H46</f>
        <v>paBoost</v>
      </c>
      <c r="I46" s="48" t="s">
        <v>66</v>
      </c>
      <c r="J46">
        <f>LoRa_System_Init!J46</f>
        <v>0</v>
      </c>
    </row>
    <row r="47" spans="2:11" x14ac:dyDescent="0.25">
      <c r="C47">
        <f>LoRa_System_Init!C47</f>
        <v>0</v>
      </c>
      <c r="D47" s="2">
        <f>LoRa_System_Init!D47</f>
        <v>0</v>
      </c>
      <c r="E47">
        <f>LoRa_System_Init!E47</f>
        <v>0</v>
      </c>
      <c r="F47">
        <f>LoRa_System_Init!F47</f>
        <v>0</v>
      </c>
      <c r="G47" t="str">
        <f>LoRa_System_Init!G47</f>
        <v>uint8_t</v>
      </c>
      <c r="H47" t="str">
        <f>LoRa_System_Init!H47</f>
        <v>flags</v>
      </c>
      <c r="I47" s="48" t="s">
        <v>66</v>
      </c>
      <c r="J47" s="69"/>
      <c r="K47" s="70" t="s">
        <v>152</v>
      </c>
    </row>
    <row r="48" spans="2:11" x14ac:dyDescent="0.25">
      <c r="C48">
        <f>LoRa_System_Init!C48</f>
        <v>0</v>
      </c>
      <c r="D48" s="2">
        <f>LoRa_System_Init!D48</f>
        <v>0</v>
      </c>
      <c r="E48">
        <f>LoRa_System_Init!E48</f>
        <v>0</v>
      </c>
      <c r="F48">
        <f>LoRa_System_Init!F48</f>
        <v>0</v>
      </c>
      <c r="G48" t="str">
        <f>LoRa_System_Init!G48</f>
        <v>uint16_t</v>
      </c>
      <c r="H48" t="str">
        <f>LoRa_System_Init!H48</f>
        <v>frequencyHopPeriod</v>
      </c>
      <c r="I48" s="48" t="s">
        <v>66</v>
      </c>
      <c r="J48" s="69"/>
    </row>
    <row r="49" spans="3:10" x14ac:dyDescent="0.25">
      <c r="C49">
        <f>LoRa_System_Init!C49</f>
        <v>0</v>
      </c>
      <c r="D49" s="2">
        <f>LoRa_System_Init!D49</f>
        <v>0</v>
      </c>
      <c r="E49">
        <f>LoRa_System_Init!E49</f>
        <v>0</v>
      </c>
      <c r="F49">
        <f>LoRa_System_Init!F49</f>
        <v>0</v>
      </c>
      <c r="G49" t="str">
        <f>LoRa_System_Init!G49</f>
        <v>uint8_t</v>
      </c>
      <c r="H49" t="str">
        <f>LoRa_System_Init!H49</f>
        <v>iqInverted</v>
      </c>
      <c r="I49" s="48" t="s">
        <v>66</v>
      </c>
      <c r="J49" s="69"/>
    </row>
    <row r="50" spans="3:10" x14ac:dyDescent="0.25">
      <c r="C50">
        <f>LoRa_System_Init!C50</f>
        <v>0</v>
      </c>
      <c r="D50" s="2">
        <f>LoRa_System_Init!D50</f>
        <v>0</v>
      </c>
      <c r="E50">
        <f>LoRa_System_Init!E50</f>
        <v>0</v>
      </c>
      <c r="F50">
        <f>LoRa_System_Init!F50</f>
        <v>0</v>
      </c>
      <c r="G50" t="str">
        <f>LoRa_System_Init!G50</f>
        <v>RadioErrorCodingRate_t</v>
      </c>
      <c r="H50" t="str">
        <f>LoRa_System_Init!H50</f>
        <v>errorCodingRate</v>
      </c>
      <c r="I50" s="42" t="s">
        <v>58</v>
      </c>
      <c r="J50" s="69"/>
    </row>
    <row r="51" spans="3:10" x14ac:dyDescent="0.25">
      <c r="C51">
        <f>LoRa_System_Init!C51</f>
        <v>0</v>
      </c>
      <c r="D51" s="2">
        <f>LoRa_System_Init!D51</f>
        <v>0</v>
      </c>
      <c r="E51">
        <f>LoRa_System_Init!E51</f>
        <v>0</v>
      </c>
      <c r="F51">
        <f>LoRa_System_Init!F51</f>
        <v>0</v>
      </c>
      <c r="G51" t="str">
        <f>LoRa_System_Init!G51</f>
        <v>uint8_t</v>
      </c>
      <c r="H51" t="str">
        <f>LoRa_System_Init!H51</f>
        <v>implicitHeaderMode</v>
      </c>
      <c r="I51" s="48" t="s">
        <v>66</v>
      </c>
      <c r="J51" s="69"/>
    </row>
    <row r="52" spans="3:10" x14ac:dyDescent="0.25">
      <c r="C52">
        <f>LoRa_System_Init!C52</f>
        <v>0</v>
      </c>
      <c r="D52" s="2">
        <f>LoRa_System_Init!D52</f>
        <v>0</v>
      </c>
      <c r="E52">
        <f>LoRa_System_Init!E52</f>
        <v>0</v>
      </c>
      <c r="F52">
        <f>LoRa_System_Init!F52</f>
        <v>0</v>
      </c>
      <c r="G52">
        <f>LoRa_System_Init!G52</f>
        <v>0</v>
      </c>
      <c r="H52">
        <f>LoRa_System_Init!H52</f>
        <v>0</v>
      </c>
      <c r="I52" s="2">
        <f>LoRa_System_Init!I52</f>
        <v>0</v>
      </c>
      <c r="J52">
        <f>LoRa_System_Init!J52</f>
        <v>0</v>
      </c>
    </row>
    <row r="53" spans="3:10" x14ac:dyDescent="0.25">
      <c r="C53">
        <f>LoRa_System_Init!C53</f>
        <v>0</v>
      </c>
      <c r="D53" s="2">
        <f>LoRa_System_Init!D53</f>
        <v>0</v>
      </c>
      <c r="E53">
        <f>LoRa_System_Init!E53</f>
        <v>0</v>
      </c>
      <c r="F53">
        <f>LoRa_System_Init!F53</f>
        <v>0</v>
      </c>
      <c r="G53" t="str">
        <f>LoRa_System_Init!G53</f>
        <v>uint8_t</v>
      </c>
      <c r="H53" t="str">
        <f>LoRa_System_Init!H53</f>
        <v>dataBufferLen</v>
      </c>
      <c r="I53" s="48" t="s">
        <v>66</v>
      </c>
      <c r="J53">
        <f>LoRa_System_Init!J53</f>
        <v>0</v>
      </c>
    </row>
    <row r="54" spans="3:10" x14ac:dyDescent="0.25">
      <c r="C54">
        <f>LoRa_System_Init!C54</f>
        <v>0</v>
      </c>
      <c r="D54" s="2">
        <f>LoRa_System_Init!D54</f>
        <v>0</v>
      </c>
      <c r="E54">
        <f>LoRa_System_Init!E54</f>
        <v>0</v>
      </c>
      <c r="F54">
        <f>LoRa_System_Init!F54</f>
        <v>0</v>
      </c>
      <c r="G54" t="str">
        <f>LoRa_System_Init!G54</f>
        <v>uint8_t *</v>
      </c>
      <c r="H54" t="str">
        <f>LoRa_System_Init!H54</f>
        <v>dataBuffer</v>
      </c>
      <c r="I54" s="42" t="s">
        <v>117</v>
      </c>
      <c r="J54">
        <f>LoRa_System_Init!J54</f>
        <v>0</v>
      </c>
    </row>
    <row r="55" spans="3:10" x14ac:dyDescent="0.25">
      <c r="C55">
        <f>LoRa_System_Init!C55</f>
        <v>0</v>
      </c>
      <c r="D55" s="2">
        <f>LoRa_System_Init!D55</f>
        <v>0</v>
      </c>
      <c r="E55">
        <f>LoRa_System_Init!E55</f>
        <v>0</v>
      </c>
      <c r="F55">
        <f>LoRa_System_Init!F55</f>
        <v>0</v>
      </c>
      <c r="G55" t="str">
        <f>LoRa_System_Init!G55</f>
        <v>uint8_t</v>
      </c>
      <c r="H55" t="str">
        <f>LoRa_System_Init!H55</f>
        <v>timeOnAirTimerId</v>
      </c>
      <c r="I55" s="48" t="s">
        <v>66</v>
      </c>
      <c r="J55">
        <f>LoRa_System_Init!J55</f>
        <v>0</v>
      </c>
    </row>
    <row r="56" spans="3:10" x14ac:dyDescent="0.25">
      <c r="C56">
        <f>LoRa_System_Init!C56</f>
        <v>0</v>
      </c>
      <c r="D56" s="2">
        <f>LoRa_System_Init!D56</f>
        <v>0</v>
      </c>
      <c r="E56">
        <f>LoRa_System_Init!E56</f>
        <v>0</v>
      </c>
      <c r="F56">
        <f>LoRa_System_Init!F56</f>
        <v>0</v>
      </c>
      <c r="G56" t="str">
        <f>LoRa_System_Init!G56</f>
        <v>uint8_t</v>
      </c>
      <c r="H56" t="str">
        <f>LoRa_System_Init!H56</f>
        <v>fskRxWindowTimerId</v>
      </c>
      <c r="I56" s="48" t="s">
        <v>66</v>
      </c>
      <c r="J56" t="str">
        <f>LoRa_System_Init!J56</f>
        <v>RADIO_RxFSKTimeout</v>
      </c>
    </row>
    <row r="57" spans="3:10" x14ac:dyDescent="0.25">
      <c r="C57">
        <f>LoRa_System_Init!C57</f>
        <v>0</v>
      </c>
      <c r="D57" s="2">
        <f>LoRa_System_Init!D57</f>
        <v>0</v>
      </c>
      <c r="E57">
        <f>LoRa_System_Init!E57</f>
        <v>0</v>
      </c>
      <c r="F57">
        <f>LoRa_System_Init!F57</f>
        <v>0</v>
      </c>
      <c r="G57" t="str">
        <f>LoRa_System_Init!G57</f>
        <v>uint8_t</v>
      </c>
      <c r="H57" t="str">
        <f>LoRa_System_Init!H57</f>
        <v>watchdogTimerId</v>
      </c>
      <c r="I57" s="48" t="s">
        <v>66</v>
      </c>
      <c r="J57" t="str">
        <f>LoRa_System_Init!J57</f>
        <v>RADIO_WatchdogTimeout</v>
      </c>
    </row>
    <row r="58" spans="3:10" x14ac:dyDescent="0.25">
      <c r="C58">
        <f>LoRa_System_Init!C58</f>
        <v>0</v>
      </c>
      <c r="D58" s="2">
        <f>LoRa_System_Init!D58</f>
        <v>0</v>
      </c>
      <c r="E58">
        <f>LoRa_System_Init!E58</f>
        <v>0</v>
      </c>
      <c r="F58">
        <f>LoRa_System_Init!F58</f>
        <v>0</v>
      </c>
      <c r="G58" t="str">
        <f>LoRa_System_Init!G58</f>
        <v>uint32_t</v>
      </c>
      <c r="H58" t="str">
        <f>LoRa_System_Init!H58</f>
        <v>watchdogTimerTimeout</v>
      </c>
      <c r="I58" s="42" t="s">
        <v>62</v>
      </c>
      <c r="J58">
        <f>LoRa_System_Init!J58</f>
        <v>0</v>
      </c>
    </row>
    <row r="59" spans="3:10" x14ac:dyDescent="0.25">
      <c r="C59">
        <f>LoRa_System_Init!C59</f>
        <v>0</v>
      </c>
      <c r="D59" s="2">
        <f>LoRa_System_Init!D59</f>
        <v>0</v>
      </c>
      <c r="E59">
        <f>LoRa_System_Init!E59</f>
        <v>0</v>
      </c>
      <c r="F59">
        <f>LoRa_System_Init!F59</f>
        <v>0</v>
      </c>
      <c r="G59" t="str">
        <f>LoRa_System_Init!G59</f>
        <v>uint8_t</v>
      </c>
      <c r="H59" t="str">
        <f>LoRa_System_Init!H59</f>
        <v>initialized</v>
      </c>
      <c r="I59" s="42">
        <v>1</v>
      </c>
      <c r="J59">
        <f>LoRa_System_Init!J59</f>
        <v>0</v>
      </c>
    </row>
    <row r="60" spans="3:10" x14ac:dyDescent="0.25">
      <c r="C60">
        <f>LoRa_System_Init!C60</f>
        <v>0</v>
      </c>
      <c r="D60" s="2">
        <f>LoRa_System_Init!D60</f>
        <v>0</v>
      </c>
      <c r="E60">
        <f>LoRa_System_Init!E60</f>
        <v>0</v>
      </c>
      <c r="F60">
        <f>LoRa_System_Init!F60</f>
        <v>0</v>
      </c>
      <c r="G60" t="str">
        <f>LoRa_System_Init!G60</f>
        <v>uint32_t</v>
      </c>
      <c r="H60" t="str">
        <f>LoRa_System_Init!H60</f>
        <v>fhssNextFrequency</v>
      </c>
      <c r="I60" s="42" t="s">
        <v>67</v>
      </c>
      <c r="J60">
        <f>LoRa_System_Init!J60</f>
        <v>0</v>
      </c>
    </row>
    <row r="61" spans="3:10" x14ac:dyDescent="0.25">
      <c r="C61">
        <f>LoRa_System_Init!C61</f>
        <v>0</v>
      </c>
      <c r="D61" s="2">
        <f>LoRa_System_Init!D61</f>
        <v>0</v>
      </c>
      <c r="E61">
        <f>LoRa_System_Init!E61</f>
        <v>0</v>
      </c>
      <c r="F61">
        <f>LoRa_System_Init!F61</f>
        <v>0</v>
      </c>
      <c r="G61" t="str">
        <f>LoRa_System_Init!G61</f>
        <v>uint8_t</v>
      </c>
      <c r="H61" t="str">
        <f>LoRa_System_Init!H61</f>
        <v>regVersion</v>
      </c>
      <c r="I61" s="42" t="s">
        <v>201</v>
      </c>
      <c r="J61">
        <f>LoRa_System_Init!J61</f>
        <v>0</v>
      </c>
    </row>
    <row r="62" spans="3:10" x14ac:dyDescent="0.25">
      <c r="C62">
        <f>LoRa_System_Init!C62</f>
        <v>0</v>
      </c>
      <c r="D62" s="2">
        <f>LoRa_System_Init!D62</f>
        <v>0</v>
      </c>
      <c r="E62">
        <f>LoRa_System_Init!E62</f>
        <v>0</v>
      </c>
      <c r="F62">
        <f>LoRa_System_Init!F62</f>
        <v>0</v>
      </c>
      <c r="G62" t="str">
        <f>LoRa_System_Init!G62</f>
        <v>int8_t</v>
      </c>
      <c r="H62" t="str">
        <f>LoRa_System_Init!H62</f>
        <v>packetSNR</v>
      </c>
      <c r="I62" s="42">
        <v>-128</v>
      </c>
      <c r="J62">
        <f>LoRa_System_Init!J62</f>
        <v>0</v>
      </c>
    </row>
    <row r="63" spans="3:10" x14ac:dyDescent="0.25">
      <c r="C63">
        <f>LoRa_System_Init!C63</f>
        <v>0</v>
      </c>
      <c r="D63" s="2">
        <f>LoRa_System_Init!D63</f>
        <v>0</v>
      </c>
      <c r="E63">
        <f>LoRa_System_Init!E63</f>
        <v>0</v>
      </c>
      <c r="F63">
        <f>LoRa_System_Init!F63</f>
        <v>0</v>
      </c>
      <c r="G63" t="str">
        <f>LoRa_System_Init!G63</f>
        <v>RadioFSKShaping_t</v>
      </c>
      <c r="H63" t="str">
        <f>LoRa_System_Init!H63</f>
        <v>fskDataShaping</v>
      </c>
      <c r="I63" s="42" t="s">
        <v>63</v>
      </c>
      <c r="J63">
        <f>LoRa_System_Init!J63</f>
        <v>0</v>
      </c>
    </row>
    <row r="64" spans="3:10" x14ac:dyDescent="0.25">
      <c r="C64">
        <f>LoRa_System_Init!C64</f>
        <v>0</v>
      </c>
      <c r="D64" s="2">
        <f>LoRa_System_Init!D64</f>
        <v>0</v>
      </c>
      <c r="E64">
        <f>LoRa_System_Init!E64</f>
        <v>0</v>
      </c>
      <c r="F64">
        <f>LoRa_System_Init!F64</f>
        <v>0</v>
      </c>
      <c r="G64" t="str">
        <f>LoRa_System_Init!G64</f>
        <v>RadioFSKBandWidth_t</v>
      </c>
      <c r="H64" t="str">
        <f>LoRa_System_Init!H64</f>
        <v>rxBw</v>
      </c>
      <c r="I64" s="42" t="s">
        <v>64</v>
      </c>
      <c r="J64">
        <f>LoRa_System_Init!J64</f>
        <v>0</v>
      </c>
    </row>
    <row r="65" spans="3:10" x14ac:dyDescent="0.25">
      <c r="C65">
        <f>LoRa_System_Init!C65</f>
        <v>0</v>
      </c>
      <c r="D65" s="2">
        <f>LoRa_System_Init!D65</f>
        <v>0</v>
      </c>
      <c r="E65">
        <f>LoRa_System_Init!E65</f>
        <v>0</v>
      </c>
      <c r="F65">
        <f>LoRa_System_Init!F65</f>
        <v>0</v>
      </c>
      <c r="G65" t="str">
        <f>LoRa_System_Init!G65</f>
        <v>RadioFSKBandWidth_t</v>
      </c>
      <c r="H65" t="str">
        <f>LoRa_System_Init!H65</f>
        <v>afcBw</v>
      </c>
      <c r="I65" s="42" t="s">
        <v>65</v>
      </c>
      <c r="J65">
        <f>LoRa_System_Init!J65</f>
        <v>0</v>
      </c>
    </row>
    <row r="66" spans="3:10" x14ac:dyDescent="0.25">
      <c r="C66">
        <f>LoRa_System_Init!C66</f>
        <v>0</v>
      </c>
      <c r="D66" s="2">
        <f>LoRa_System_Init!D66</f>
        <v>0</v>
      </c>
      <c r="E66">
        <f>LoRa_System_Init!E66</f>
        <v>0</v>
      </c>
      <c r="F66">
        <f>LoRa_System_Init!F66</f>
        <v>0</v>
      </c>
      <c r="G66">
        <f>LoRa_System_Init!G66</f>
        <v>0</v>
      </c>
      <c r="H66">
        <f>LoRa_System_Init!H66</f>
        <v>0</v>
      </c>
      <c r="I66" s="2">
        <f>LoRa_System_Init!I66</f>
        <v>0</v>
      </c>
      <c r="J66">
        <f>LoRa_System_Init!J66</f>
        <v>0</v>
      </c>
    </row>
    <row r="67" spans="3:10" x14ac:dyDescent="0.25">
      <c r="C67">
        <f>LoRa_System_Init!C67</f>
        <v>0</v>
      </c>
      <c r="D67" s="2">
        <f>LoRa_System_Init!D67</f>
        <v>0</v>
      </c>
      <c r="E67">
        <f>LoRa_System_Init!E67</f>
        <v>0</v>
      </c>
      <c r="F67">
        <f>LoRa_System_Init!F67</f>
        <v>0</v>
      </c>
      <c r="G67">
        <f>LoRa_System_Init!G67</f>
        <v>0</v>
      </c>
      <c r="H67">
        <f>LoRa_System_Init!H67</f>
        <v>0</v>
      </c>
      <c r="I67" s="2">
        <f>LoRa_System_Init!I67</f>
        <v>0</v>
      </c>
      <c r="J67">
        <f>LoRa_System_Init!J67</f>
        <v>0</v>
      </c>
    </row>
    <row r="68" spans="3:10" x14ac:dyDescent="0.25">
      <c r="C68">
        <f>LoRa_System_Init!C68</f>
        <v>0</v>
      </c>
      <c r="D68" s="2">
        <f>LoRa_System_Init!D68</f>
        <v>0</v>
      </c>
      <c r="E68">
        <f>LoRa_System_Init!E68</f>
        <v>0</v>
      </c>
      <c r="F68">
        <f>LoRa_System_Init!F68</f>
        <v>0</v>
      </c>
      <c r="G68">
        <f>LoRa_System_Init!G68</f>
        <v>0</v>
      </c>
      <c r="H68">
        <f>LoRa_System_Init!H68</f>
        <v>0</v>
      </c>
      <c r="I68" s="2">
        <f>LoRa_System_Init!I68</f>
        <v>0</v>
      </c>
      <c r="J68">
        <f>LoRa_System_Init!J68</f>
        <v>0</v>
      </c>
    </row>
    <row r="69" spans="3:10" x14ac:dyDescent="0.25">
      <c r="C69">
        <f>LoRa_System_Init!C69</f>
        <v>0</v>
      </c>
      <c r="D69" s="2">
        <f>LoRa_System_Init!D69</f>
        <v>0</v>
      </c>
      <c r="E69">
        <f>LoRa_System_Init!E69</f>
        <v>0</v>
      </c>
      <c r="F69">
        <f>LoRa_System_Init!F69</f>
        <v>0</v>
      </c>
      <c r="G69" t="str">
        <f>LoRa_System_Init!G69</f>
        <v>ChannelParams_t</v>
      </c>
      <c r="H69" t="str">
        <f>LoRa_System_Init!H69</f>
        <v>Channels</v>
      </c>
      <c r="I69" s="2" t="str">
        <f>LoRa_System_Init!I69</f>
        <v>DefaultChannels868</v>
      </c>
      <c r="J69">
        <f>LoRa_System_Init!J69</f>
        <v>0</v>
      </c>
    </row>
    <row r="70" spans="3:10" x14ac:dyDescent="0.25">
      <c r="C70">
        <f>LoRa_System_Init!C70</f>
        <v>0</v>
      </c>
      <c r="D70" s="2">
        <f>LoRa_System_Init!D70</f>
        <v>0</v>
      </c>
      <c r="E70">
        <f>LoRa_System_Init!E70</f>
        <v>0</v>
      </c>
      <c r="F70">
        <f>LoRa_System_Init!F70</f>
        <v>0</v>
      </c>
      <c r="G70" t="str">
        <f>LoRa_System_Init!G70</f>
        <v>uint8_t</v>
      </c>
      <c r="H70" t="str">
        <f>LoRa_System_Init!H70</f>
        <v>maxPayloadSize[]</v>
      </c>
      <c r="I70" s="2" t="str">
        <f>LoRa_System_Init!I70</f>
        <v>MAX_EU_SINGLE_BAND_CHANNELS</v>
      </c>
      <c r="J70">
        <f>LoRa_System_Init!J70</f>
        <v>0</v>
      </c>
    </row>
    <row r="71" spans="3:10" x14ac:dyDescent="0.25">
      <c r="C71">
        <f>LoRa_System_Init!C71</f>
        <v>0</v>
      </c>
      <c r="D71" s="2">
        <f>LoRa_System_Init!D71</f>
        <v>0</v>
      </c>
      <c r="E71">
        <f>LoRa_System_Init!E71</f>
        <v>0</v>
      </c>
      <c r="F71">
        <f>LoRa_System_Init!F71</f>
        <v>0</v>
      </c>
      <c r="G71" t="str">
        <f>LoRa_System_Init!G71</f>
        <v>uint8_t</v>
      </c>
      <c r="H71" t="str">
        <f>LoRa_System_Init!H71</f>
        <v>modulation[]</v>
      </c>
      <c r="I71" s="2">
        <f>LoRa_System_Init!I71</f>
        <v>0</v>
      </c>
      <c r="J71">
        <f>LoRa_System_Init!J71</f>
        <v>0</v>
      </c>
    </row>
    <row r="72" spans="3:10" x14ac:dyDescent="0.25">
      <c r="C72">
        <f>LoRa_System_Init!C72</f>
        <v>0</v>
      </c>
      <c r="D72" s="2">
        <f>LoRa_System_Init!D72</f>
        <v>0</v>
      </c>
      <c r="E72">
        <f>LoRa_System_Init!E72</f>
        <v>0</v>
      </c>
      <c r="F72">
        <f>LoRa_System_Init!F72</f>
        <v>0</v>
      </c>
      <c r="G72" t="str">
        <f>LoRa_System_Init!G72</f>
        <v>uint8_t</v>
      </c>
      <c r="H72" t="str">
        <f>LoRa_System_Init!H72</f>
        <v>spreadingFactor[]</v>
      </c>
      <c r="I72" s="2">
        <f>LoRa_System_Init!I72</f>
        <v>0</v>
      </c>
      <c r="J72">
        <f>LoRa_System_Init!J72</f>
        <v>0</v>
      </c>
    </row>
    <row r="73" spans="3:10" x14ac:dyDescent="0.25">
      <c r="C73">
        <f>LoRa_System_Init!C73</f>
        <v>0</v>
      </c>
      <c r="D73" s="2">
        <f>LoRa_System_Init!D73</f>
        <v>0</v>
      </c>
      <c r="E73">
        <f>LoRa_System_Init!E73</f>
        <v>0</v>
      </c>
      <c r="F73">
        <f>LoRa_System_Init!F73</f>
        <v>0</v>
      </c>
      <c r="G73" t="str">
        <f>LoRa_System_Init!G73</f>
        <v>uint8_t</v>
      </c>
      <c r="H73" t="str">
        <f>LoRa_System_Init!H73</f>
        <v>bandwidth[]</v>
      </c>
      <c r="I73" s="2">
        <f>LoRa_System_Init!I73</f>
        <v>0</v>
      </c>
      <c r="J73">
        <f>LoRa_System_Init!J73</f>
        <v>0</v>
      </c>
    </row>
    <row r="74" spans="3:10" x14ac:dyDescent="0.25">
      <c r="C74">
        <f>LoRa_System_Init!C74</f>
        <v>0</v>
      </c>
      <c r="D74" s="2">
        <f>LoRa_System_Init!D74</f>
        <v>0</v>
      </c>
      <c r="E74">
        <f>LoRa_System_Init!E74</f>
        <v>0</v>
      </c>
      <c r="F74">
        <f>LoRa_System_Init!F74</f>
        <v>0</v>
      </c>
      <c r="G74" t="str">
        <f>LoRa_System_Init!G74</f>
        <v>uint8_t</v>
      </c>
      <c r="H74" t="str">
        <f>LoRa_System_Init!H74</f>
        <v>txPower868[]</v>
      </c>
      <c r="I74" s="2">
        <f>LoRa_System_Init!I74</f>
        <v>0</v>
      </c>
      <c r="J74">
        <f>LoRa_System_Init!J74</f>
        <v>0</v>
      </c>
    </row>
    <row r="75" spans="3:10" x14ac:dyDescent="0.25">
      <c r="C75">
        <f>LoRa_System_Init!C75</f>
        <v>0</v>
      </c>
      <c r="D75" s="2">
        <f>LoRa_System_Init!D75</f>
        <v>0</v>
      </c>
      <c r="E75">
        <f>LoRa_System_Init!E75</f>
        <v>0</v>
      </c>
      <c r="F75">
        <f>LoRa_System_Init!F75</f>
        <v>0</v>
      </c>
      <c r="G75" t="str">
        <f>LoRa_System_Init!G75</f>
        <v>uint8_t</v>
      </c>
      <c r="H75" t="str">
        <f>LoRa_System_Init!H75</f>
        <v>LoRa_radioBuffer[]</v>
      </c>
      <c r="I75" s="2" t="str">
        <f>LoRa_System_Init!I75</f>
        <v>MAXIMUM_BUFFER_LENGTH</v>
      </c>
      <c r="J75">
        <f>LoRa_System_Init!J75</f>
        <v>0</v>
      </c>
    </row>
    <row r="76" spans="3:10" x14ac:dyDescent="0.25">
      <c r="C76">
        <f>LoRa_System_Init!C76</f>
        <v>0</v>
      </c>
      <c r="D76" s="2">
        <f>LoRa_System_Init!D76</f>
        <v>0</v>
      </c>
      <c r="E76">
        <f>LoRa_System_Init!E76</f>
        <v>0</v>
      </c>
      <c r="F76">
        <f>LoRa_System_Init!F76</f>
        <v>0</v>
      </c>
      <c r="G76">
        <f>LoRa_System_Init!G76</f>
        <v>0</v>
      </c>
      <c r="H76">
        <f>LoRa_System_Init!H76</f>
        <v>0</v>
      </c>
      <c r="I76" s="2">
        <f>LoRa_System_Init!I76</f>
        <v>0</v>
      </c>
      <c r="J76">
        <f>LoRa_System_Init!J76</f>
        <v>0</v>
      </c>
    </row>
    <row r="77" spans="3:10" x14ac:dyDescent="0.25">
      <c r="C77">
        <f>LoRa_System_Init!C77</f>
        <v>0</v>
      </c>
      <c r="D77" s="2">
        <f>LoRa_System_Init!D77</f>
        <v>0</v>
      </c>
      <c r="E77">
        <f>LoRa_System_Init!E77</f>
        <v>0</v>
      </c>
      <c r="F77">
        <f>LoRa_System_Init!F77</f>
        <v>0</v>
      </c>
      <c r="G77">
        <f>LoRa_System_Init!G77</f>
        <v>0</v>
      </c>
      <c r="H77">
        <f>LoRa_System_Init!H77</f>
        <v>0</v>
      </c>
      <c r="I77" s="2">
        <f>LoRa_System_Init!I77</f>
        <v>0</v>
      </c>
      <c r="J77">
        <f>LoRa_System_Init!J77</f>
        <v>0</v>
      </c>
    </row>
    <row r="78" spans="3:10" x14ac:dyDescent="0.25">
      <c r="G78">
        <f>function!B47</f>
        <v>0</v>
      </c>
      <c r="H78">
        <f>function!C47</f>
        <v>0</v>
      </c>
      <c r="I78" s="2">
        <f>function!D47</f>
        <v>0</v>
      </c>
      <c r="J78">
        <f>function!E47</f>
        <v>0</v>
      </c>
    </row>
    <row r="79" spans="3:10" x14ac:dyDescent="0.25">
      <c r="G79">
        <f>function!B48</f>
        <v>0</v>
      </c>
      <c r="H79" t="str">
        <f>function!C48</f>
        <v>DATA</v>
      </c>
      <c r="I79" s="2">
        <f>function!D48</f>
        <v>0</v>
      </c>
      <c r="J79">
        <f>function!E48</f>
        <v>0</v>
      </c>
    </row>
  </sheetData>
  <hyperlinks>
    <hyperlink ref="C20" location="LoRa_Send!C1" display="LoRa_Send" xr:uid="{5D2719F4-7671-42DD-B71E-7B9511706622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Arkusz3.fill_in_main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5" name="Button 3">
              <controlPr defaultSize="0" print="0" autoFill="0" autoPict="0" macro="[0]!LoRa_main_Send_start">
                <anchor moveWithCells="1" sizeWithCells="1">
                  <from>
                    <xdr:col>2</xdr:col>
                    <xdr:colOff>8626</xdr:colOff>
                    <xdr:row>8</xdr:row>
                    <xdr:rowOff>172528</xdr:rowOff>
                  </from>
                  <to>
                    <xdr:col>2</xdr:col>
                    <xdr:colOff>3079630</xdr:colOff>
                    <xdr:row>9</xdr:row>
                    <xdr:rowOff>172528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42732-34D5-4485-9F16-DA6C592D2425}">
  <sheetPr codeName="Arkusz4"/>
  <dimension ref="A1:J79"/>
  <sheetViews>
    <sheetView showZeros="0" workbookViewId="0">
      <selection activeCell="D20" sqref="D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1:10" x14ac:dyDescent="0.25">
      <c r="A1" t="s">
        <v>84</v>
      </c>
      <c r="B1" s="5" t="s">
        <v>35</v>
      </c>
      <c r="C1" s="4" t="s">
        <v>16</v>
      </c>
      <c r="D1" s="7" t="s">
        <v>82</v>
      </c>
      <c r="E1" s="2" t="s">
        <v>83</v>
      </c>
      <c r="I1" s="2" t="s">
        <v>3</v>
      </c>
    </row>
    <row r="2" spans="1:10" x14ac:dyDescent="0.25">
      <c r="A2" t="s">
        <v>20</v>
      </c>
      <c r="B2" t="s">
        <v>8</v>
      </c>
    </row>
    <row r="3" spans="1:10" x14ac:dyDescent="0.25">
      <c r="C3" t="str">
        <f>main!C3</f>
        <v>LoRa_transmitStatus</v>
      </c>
      <c r="D3" s="2" t="str">
        <f>I3</f>
        <v>LoRa_Idle</v>
      </c>
      <c r="E3">
        <f>main!E3</f>
        <v>0</v>
      </c>
      <c r="F3">
        <f>main!F3</f>
        <v>0</v>
      </c>
      <c r="G3" t="str">
        <f>main!G3</f>
        <v>LoRaMacState_t</v>
      </c>
      <c r="H3" t="str">
        <f>main!H3</f>
        <v>LoRa_transmitStatus</v>
      </c>
      <c r="I3" s="2" t="str">
        <f>main!I3</f>
        <v>LoRa_Idle</v>
      </c>
      <c r="J3">
        <f>main!J3</f>
        <v>0</v>
      </c>
    </row>
    <row r="4" spans="1:10" x14ac:dyDescent="0.25">
      <c r="C4" t="str">
        <f>main!C4</f>
        <v>LoRa_StatusDanych</v>
      </c>
      <c r="D4" s="2" t="str">
        <f>I4</f>
        <v>LoRa_transmit_Fail</v>
      </c>
      <c r="E4">
        <f>main!E4</f>
        <v>0</v>
      </c>
      <c r="F4">
        <f>main!F4</f>
        <v>0</v>
      </c>
      <c r="G4" t="str">
        <f>main!G4</f>
        <v>LoRaStatus_t</v>
      </c>
      <c r="H4" t="str">
        <f>main!H4</f>
        <v>LoRa_StatusDanych</v>
      </c>
      <c r="I4" s="6" t="s">
        <v>204</v>
      </c>
      <c r="J4">
        <f>main!J4</f>
        <v>0</v>
      </c>
    </row>
    <row r="5" spans="1:10" x14ac:dyDescent="0.25">
      <c r="C5" t="str">
        <f>main!C5</f>
        <v>flags</v>
      </c>
      <c r="D5" s="2" t="str">
        <f>I47</f>
        <v>0</v>
      </c>
      <c r="E5">
        <f>main!E5</f>
        <v>0</v>
      </c>
      <c r="F5">
        <f>main!F5</f>
        <v>0</v>
      </c>
      <c r="G5" t="str">
        <f>main!G5</f>
        <v>bool</v>
      </c>
      <c r="H5" t="str">
        <f>main!H5</f>
        <v>LoRa_initialised</v>
      </c>
      <c r="I5" s="2" t="str">
        <f>main!I5</f>
        <v>ENABLED</v>
      </c>
      <c r="J5">
        <f>main!J5</f>
        <v>0</v>
      </c>
    </row>
    <row r="6" spans="1:10" x14ac:dyDescent="0.25">
      <c r="C6">
        <f>main!C6</f>
        <v>0</v>
      </c>
      <c r="D6" s="2">
        <f>main!D6</f>
        <v>0</v>
      </c>
      <c r="E6">
        <f>main!E6</f>
        <v>0</v>
      </c>
      <c r="F6">
        <f>main!F6</f>
        <v>0</v>
      </c>
      <c r="G6" t="str">
        <f>main!G6</f>
        <v>FCnt_t</v>
      </c>
      <c r="H6" t="str">
        <f>main!H6</f>
        <v>LoRa_Counter</v>
      </c>
      <c r="I6" s="2" t="str">
        <f>main!I6</f>
        <v>0</v>
      </c>
      <c r="J6">
        <f>main!J6</f>
        <v>0</v>
      </c>
    </row>
    <row r="7" spans="1:10" x14ac:dyDescent="0.25">
      <c r="C7" s="16"/>
      <c r="D7" s="25"/>
      <c r="E7" s="17"/>
      <c r="F7" s="18"/>
      <c r="G7" t="str">
        <f>main!G7</f>
        <v>uint8_t</v>
      </c>
      <c r="H7" t="str">
        <f>main!H7</f>
        <v>LoRa_Addres</v>
      </c>
      <c r="I7" s="2" t="str">
        <f>main!I7</f>
        <v>LoRaDeviceAddress</v>
      </c>
      <c r="J7">
        <f>main!J7</f>
        <v>0</v>
      </c>
    </row>
    <row r="8" spans="1:10" x14ac:dyDescent="0.25">
      <c r="C8" s="19"/>
      <c r="D8" s="26"/>
      <c r="E8" s="20"/>
      <c r="F8" s="21"/>
      <c r="G8" t="str">
        <f>main!G8</f>
        <v>uint8_t</v>
      </c>
      <c r="H8" t="str">
        <f>main!H8</f>
        <v>LoRa_TimerHandshaking</v>
      </c>
      <c r="I8" s="2" t="str">
        <f>main!I8</f>
        <v>0</v>
      </c>
      <c r="J8" t="str">
        <f>main!J8</f>
        <v>LoRa_TimerHandshakingCallback</v>
      </c>
    </row>
    <row r="9" spans="1:10" x14ac:dyDescent="0.25">
      <c r="C9" s="19"/>
      <c r="D9" s="36" t="s">
        <v>82</v>
      </c>
      <c r="E9" s="30" t="s">
        <v>205</v>
      </c>
      <c r="F9" s="31" t="s">
        <v>234</v>
      </c>
      <c r="G9" t="str">
        <f>main!G9</f>
        <v>uint8_t</v>
      </c>
      <c r="H9" t="str">
        <f>main!H9</f>
        <v>LoRa_TimerRetransmit</v>
      </c>
      <c r="I9" s="2" t="str">
        <f>main!I9</f>
        <v>0</v>
      </c>
      <c r="J9" t="str">
        <f>main!J9</f>
        <v>LoRa_TimerRetransmitCallback</v>
      </c>
    </row>
    <row r="10" spans="1:10" x14ac:dyDescent="0.25">
      <c r="C10" s="41" t="s">
        <v>206</v>
      </c>
      <c r="D10" s="37" t="s">
        <v>207</v>
      </c>
      <c r="E10" s="32" t="s">
        <v>207</v>
      </c>
      <c r="F10" s="51" t="s">
        <v>230</v>
      </c>
      <c r="G10" t="str">
        <f>main!G10</f>
        <v>uint8_t</v>
      </c>
      <c r="H10" t="str">
        <f>main!H10</f>
        <v>LoRa_TimerWaitAck</v>
      </c>
      <c r="I10" s="2" t="str">
        <f>main!I10</f>
        <v>0</v>
      </c>
      <c r="J10" t="str">
        <f>main!J10</f>
        <v>LoRa_TimerWaitAckCallback</v>
      </c>
    </row>
    <row r="11" spans="1:10" x14ac:dyDescent="0.25">
      <c r="C11" s="33" t="s">
        <v>208</v>
      </c>
      <c r="D11" s="38" t="s">
        <v>82</v>
      </c>
      <c r="E11" s="34" t="s">
        <v>205</v>
      </c>
      <c r="F11" s="50" t="s">
        <v>207</v>
      </c>
      <c r="G11" t="str">
        <f>main!G11</f>
        <v>uint8_t</v>
      </c>
      <c r="H11" t="str">
        <f>main!H11</f>
        <v>LoRa_HeaderBufor</v>
      </c>
      <c r="I11" s="46" t="s">
        <v>98</v>
      </c>
      <c r="J11">
        <f>main!J11</f>
        <v>0</v>
      </c>
    </row>
    <row r="12" spans="1:10" x14ac:dyDescent="0.25">
      <c r="C12" s="19"/>
      <c r="D12" s="26"/>
      <c r="E12" s="20"/>
      <c r="F12" s="21"/>
      <c r="G12" t="str">
        <f>main!G12</f>
        <v>uint8_t</v>
      </c>
      <c r="H12" t="str">
        <f>main!H12</f>
        <v>LoRa_HeaderLength</v>
      </c>
      <c r="I12" s="46" t="s">
        <v>99</v>
      </c>
      <c r="J12">
        <f>main!J12</f>
        <v>0</v>
      </c>
    </row>
    <row r="13" spans="1:10" x14ac:dyDescent="0.25">
      <c r="C13" s="19"/>
      <c r="D13" s="26"/>
      <c r="E13" s="20"/>
      <c r="F13" s="21"/>
      <c r="G13" t="str">
        <f>main!G13</f>
        <v>uint8_t</v>
      </c>
      <c r="H13" t="str">
        <f>main!H13</f>
        <v>LoRa_Bufor</v>
      </c>
      <c r="I13" s="46" t="s">
        <v>101</v>
      </c>
      <c r="J13">
        <f>main!J13</f>
        <v>0</v>
      </c>
    </row>
    <row r="14" spans="1:10" x14ac:dyDescent="0.25">
      <c r="C14" s="19"/>
      <c r="D14" s="26"/>
      <c r="E14" s="20"/>
      <c r="F14" s="21"/>
      <c r="G14" t="str">
        <f>main!G14</f>
        <v>uint8_t</v>
      </c>
      <c r="H14" t="str">
        <f>main!H14</f>
        <v>LoRa_BuforLength</v>
      </c>
      <c r="I14" s="46" t="s">
        <v>100</v>
      </c>
      <c r="J14">
        <f>main!J14</f>
        <v>0</v>
      </c>
    </row>
    <row r="15" spans="1:10" x14ac:dyDescent="0.25">
      <c r="C15" s="19"/>
      <c r="D15" s="26"/>
      <c r="E15" s="20"/>
      <c r="F15" s="21"/>
      <c r="G15" t="str">
        <f>main!G15</f>
        <v>uint8_t</v>
      </c>
      <c r="H15" t="str">
        <f>main!H15</f>
        <v>LoRa_Command</v>
      </c>
      <c r="I15" s="2">
        <f>main!I15</f>
        <v>0</v>
      </c>
      <c r="J15">
        <f>main!J15</f>
        <v>0</v>
      </c>
    </row>
    <row r="16" spans="1:10" x14ac:dyDescent="0.25">
      <c r="C16" s="19"/>
      <c r="D16" s="26"/>
      <c r="E16" s="20"/>
      <c r="F16" s="21"/>
      <c r="G16" t="str">
        <f>main!G16</f>
        <v>uint8_t</v>
      </c>
      <c r="H16" t="str">
        <f>main!H16</f>
        <v>LoRa_maxChannels</v>
      </c>
      <c r="I16" s="2" t="str">
        <f>main!I16</f>
        <v>MAX_EU_SINGLE_BAND_CHANNELS</v>
      </c>
      <c r="J16">
        <f>main!J16</f>
        <v>0</v>
      </c>
    </row>
    <row r="17" spans="3:10" x14ac:dyDescent="0.25">
      <c r="C17" s="19"/>
      <c r="D17" s="26"/>
      <c r="E17" s="20"/>
      <c r="F17" s="21"/>
      <c r="G17" t="str">
        <f>main!G17</f>
        <v>uint8_t</v>
      </c>
      <c r="H17" t="str">
        <f>main!H17</f>
        <v>LoRa_lastUsedChannelIndex</v>
      </c>
      <c r="I17" s="39" t="s">
        <v>170</v>
      </c>
      <c r="J17">
        <f>main!J17</f>
        <v>0</v>
      </c>
    </row>
    <row r="18" spans="3:10" x14ac:dyDescent="0.25">
      <c r="C18" s="19"/>
      <c r="D18" s="26"/>
      <c r="E18" s="20"/>
      <c r="F18" s="21"/>
      <c r="G18" t="str">
        <f>main!G18</f>
        <v>ReceiveWindowParameters_t</v>
      </c>
      <c r="H18" t="str">
        <f>main!H18</f>
        <v>LoRa_ch0_params.frequency</v>
      </c>
      <c r="I18" s="2" t="str">
        <f>main!I18</f>
        <v>LoRa_CH0_frequency</v>
      </c>
      <c r="J18">
        <f>main!J18</f>
        <v>0</v>
      </c>
    </row>
    <row r="19" spans="3:10" x14ac:dyDescent="0.25">
      <c r="C19" s="19"/>
      <c r="D19" s="26"/>
      <c r="E19" s="20"/>
      <c r="F19" s="21"/>
      <c r="G19">
        <f>main!G19</f>
        <v>0</v>
      </c>
      <c r="H19" t="str">
        <f>main!H19</f>
        <v>LoRa_ch0_params.datarate</v>
      </c>
      <c r="I19" s="2" t="str">
        <f>main!I19</f>
        <v>LoRa_CH0_datarate</v>
      </c>
      <c r="J19">
        <f>main!J19</f>
        <v>0</v>
      </c>
    </row>
    <row r="20" spans="3:10" x14ac:dyDescent="0.25">
      <c r="C20" s="19"/>
      <c r="D20" s="66" t="s">
        <v>138</v>
      </c>
      <c r="E20" s="20"/>
      <c r="F20" s="21"/>
      <c r="G20" t="str">
        <f>main!G20</f>
        <v>ReceiveWindowParameters_t</v>
      </c>
      <c r="H20" t="str">
        <f>main!H20</f>
        <v>LoRa_receiveChannelParameters.frequency</v>
      </c>
      <c r="I20" s="39" t="s">
        <v>171</v>
      </c>
      <c r="J20">
        <f>main!J20</f>
        <v>0</v>
      </c>
    </row>
    <row r="21" spans="3:10" x14ac:dyDescent="0.25">
      <c r="C21" s="19"/>
      <c r="D21" s="26"/>
      <c r="E21" s="71" t="s">
        <v>233</v>
      </c>
      <c r="F21" s="21"/>
      <c r="G21">
        <f>main!G21</f>
        <v>0</v>
      </c>
      <c r="H21" t="str">
        <f>main!H21</f>
        <v>LoRa_receiveChannelParameters.dataRate</v>
      </c>
      <c r="I21" s="39" t="s">
        <v>28</v>
      </c>
      <c r="J21">
        <f>main!J21</f>
        <v>0</v>
      </c>
    </row>
    <row r="22" spans="3:10" x14ac:dyDescent="0.25">
      <c r="C22" s="19"/>
      <c r="D22" s="26"/>
      <c r="E22" s="71" t="s">
        <v>232</v>
      </c>
      <c r="F22" s="21"/>
      <c r="G22" t="str">
        <f>main!G22</f>
        <v>ReceiveWindowParameters_t</v>
      </c>
      <c r="H22" t="str">
        <f>main!H22</f>
        <v>LoRa_sendChannelParameters.frequency</v>
      </c>
      <c r="I22" s="39" t="s">
        <v>171</v>
      </c>
      <c r="J22">
        <f>main!J22</f>
        <v>0</v>
      </c>
    </row>
    <row r="23" spans="3:10" x14ac:dyDescent="0.25">
      <c r="C23" s="19"/>
      <c r="D23" s="26"/>
      <c r="E23" s="20"/>
      <c r="F23" s="21"/>
      <c r="G23">
        <f>main!G23</f>
        <v>0</v>
      </c>
      <c r="H23" t="str">
        <f>main!H23</f>
        <v>LoRa_sendChannelParameters.dataRate</v>
      </c>
      <c r="I23" s="39" t="s">
        <v>28</v>
      </c>
      <c r="J23">
        <f>main!J23</f>
        <v>0</v>
      </c>
    </row>
    <row r="24" spans="3:10" x14ac:dyDescent="0.25">
      <c r="C24" s="22"/>
      <c r="D24" s="27"/>
      <c r="E24" s="23"/>
      <c r="F24" s="24"/>
      <c r="G24" t="str">
        <f>main!G24</f>
        <v>uint8_t</v>
      </c>
      <c r="H24" t="str">
        <f>main!H24</f>
        <v>LoRa_txPower</v>
      </c>
      <c r="I24" s="2">
        <f>main!I24</f>
        <v>1</v>
      </c>
      <c r="J24">
        <f>main!J24</f>
        <v>0</v>
      </c>
    </row>
    <row r="25" spans="3:10" x14ac:dyDescent="0.25">
      <c r="C25" t="str">
        <f>main!C25</f>
        <v>DATA</v>
      </c>
      <c r="D25" s="2">
        <f>main!D25</f>
        <v>0</v>
      </c>
      <c r="E25">
        <f>main!E25</f>
        <v>0</v>
      </c>
      <c r="F25">
        <f>main!F25</f>
        <v>0</v>
      </c>
      <c r="G25" t="str">
        <f>main!G25</f>
        <v>uint8_t</v>
      </c>
      <c r="H25" t="str">
        <f>main!H25</f>
        <v>LoRa_syncWord</v>
      </c>
      <c r="I25" s="2" t="str">
        <f>main!I25</f>
        <v>0x34</v>
      </c>
      <c r="J25">
        <f>main!J25</f>
        <v>0</v>
      </c>
    </row>
    <row r="26" spans="3:10" x14ac:dyDescent="0.25">
      <c r="C26" t="str">
        <f>main!C26</f>
        <v>mode</v>
      </c>
      <c r="D26" s="2" t="str">
        <f>main!D26</f>
        <v>MODE_SLEEP</v>
      </c>
      <c r="E26">
        <f>main!E26</f>
        <v>0</v>
      </c>
      <c r="F26">
        <f>main!F26</f>
        <v>0</v>
      </c>
      <c r="G26" t="str">
        <f>main!G26</f>
        <v>uint8_t</v>
      </c>
      <c r="H26" t="str">
        <f>main!H26</f>
        <v>LoRa_batteryLevel</v>
      </c>
      <c r="I26" s="2" t="str">
        <f>main!I26</f>
        <v>BATTERY_LEVEL_INVALID</v>
      </c>
      <c r="J26">
        <f>main!J26</f>
        <v>0</v>
      </c>
    </row>
    <row r="27" spans="3:10" x14ac:dyDescent="0.25">
      <c r="C27" t="str">
        <f>main!C27</f>
        <v>modulation</v>
      </c>
      <c r="D27" s="2" t="str">
        <f>main!D27</f>
        <v>MODULATION_LORA</v>
      </c>
      <c r="E27">
        <f>main!E27</f>
        <v>0</v>
      </c>
      <c r="F27">
        <f>main!F27</f>
        <v>0</v>
      </c>
      <c r="G27" t="str">
        <f>main!G27</f>
        <v>IsmBand_t</v>
      </c>
      <c r="H27" t="str">
        <f>main!H27</f>
        <v>LoRa_ismBand</v>
      </c>
      <c r="I27" s="2" t="str">
        <f>main!I27</f>
        <v>ISM_EU868</v>
      </c>
      <c r="J27">
        <f>main!J27</f>
        <v>0</v>
      </c>
    </row>
    <row r="28" spans="3:10" x14ac:dyDescent="0.25">
      <c r="C28" t="str">
        <f>main!C28</f>
        <v>frequency</v>
      </c>
      <c r="D28" s="2" t="str">
        <f>main!D28</f>
        <v>EU868_CALIBRATION_FREQ</v>
      </c>
      <c r="E28">
        <f>main!E28</f>
        <v>0</v>
      </c>
      <c r="F28">
        <f>main!F28</f>
        <v>0</v>
      </c>
      <c r="G28" t="str">
        <f>main!G28</f>
        <v>uint8_t</v>
      </c>
      <c r="H28" t="str">
        <f>main!H28</f>
        <v>LoRa_currentDataRate</v>
      </c>
      <c r="I28" s="2" t="str">
        <f>main!I28</f>
        <v>DR0</v>
      </c>
      <c r="J28">
        <f>main!J28</f>
        <v>0</v>
      </c>
    </row>
    <row r="29" spans="3:10" x14ac:dyDescent="0.25">
      <c r="C29" t="str">
        <f>main!C29</f>
        <v>payload</v>
      </c>
      <c r="D29" s="2" t="str">
        <f>main!D29</f>
        <v>0xff</v>
      </c>
      <c r="E29">
        <f>main!E29</f>
        <v>0</v>
      </c>
      <c r="F29">
        <f>main!F29</f>
        <v>0</v>
      </c>
      <c r="G29" t="str">
        <f>main!G29</f>
        <v>uint8_t</v>
      </c>
      <c r="H29" t="str">
        <f>main!H29</f>
        <v>LoRa_minDataRate</v>
      </c>
      <c r="I29" s="2" t="str">
        <f>main!I29</f>
        <v>DR0</v>
      </c>
      <c r="J29">
        <f>main!J29</f>
        <v>0</v>
      </c>
    </row>
    <row r="30" spans="3:10" x14ac:dyDescent="0.25">
      <c r="C30" t="str">
        <f>main!C30</f>
        <v>power</v>
      </c>
      <c r="D30" s="2">
        <f>main!D30</f>
        <v>0</v>
      </c>
      <c r="E30">
        <f>main!E30</f>
        <v>0</v>
      </c>
      <c r="F30">
        <f>main!F30</f>
        <v>0</v>
      </c>
      <c r="G30" t="str">
        <f>main!G30</f>
        <v>uint8_t</v>
      </c>
      <c r="H30" t="str">
        <f>main!H30</f>
        <v>LoRa_maxDataRate</v>
      </c>
      <c r="I30" s="2" t="str">
        <f>main!I30</f>
        <v>DR7</v>
      </c>
      <c r="J30">
        <f>main!J30</f>
        <v>0</v>
      </c>
    </row>
    <row r="31" spans="3:10" x14ac:dyDescent="0.25">
      <c r="C31" t="str">
        <f>main!C31</f>
        <v>SpreadingFactor</v>
      </c>
      <c r="D31" s="2">
        <f>main!D31</f>
        <v>0</v>
      </c>
      <c r="E31">
        <f>main!E31</f>
        <v>0</v>
      </c>
      <c r="F31">
        <f>main!F31</f>
        <v>0</v>
      </c>
      <c r="G31" t="str">
        <f>main!G31</f>
        <v>uint8_t</v>
      </c>
      <c r="H31" t="str">
        <f>main!H31</f>
        <v>LoRa_nextUsedChannel</v>
      </c>
      <c r="I31" s="2">
        <f>main!I31</f>
        <v>0</v>
      </c>
      <c r="J31">
        <f>main!J31</f>
        <v>0</v>
      </c>
    </row>
    <row r="32" spans="3:10" x14ac:dyDescent="0.25">
      <c r="C32" t="str">
        <f>main!C32</f>
        <v>Bandwidth</v>
      </c>
      <c r="D32" s="2">
        <f>main!D32</f>
        <v>0</v>
      </c>
      <c r="E32">
        <f>main!E32</f>
        <v>0</v>
      </c>
      <c r="F32">
        <f>main!F32</f>
        <v>0</v>
      </c>
      <c r="G32">
        <f>main!G32</f>
        <v>0</v>
      </c>
      <c r="H32">
        <f>main!H32</f>
        <v>0</v>
      </c>
      <c r="I32" s="2">
        <f>main!I32</f>
        <v>0</v>
      </c>
      <c r="J32">
        <f>main!J32</f>
        <v>0</v>
      </c>
    </row>
    <row r="33" spans="3:10" x14ac:dyDescent="0.25">
      <c r="C33" t="str">
        <f>main!C33</f>
        <v>SyncWord</v>
      </c>
      <c r="D33" s="2" t="str">
        <f>main!D33</f>
        <v>LoRa_syncWord</v>
      </c>
      <c r="E33">
        <f>main!E33</f>
        <v>0</v>
      </c>
      <c r="F33">
        <f>main!F33</f>
        <v>0</v>
      </c>
      <c r="G33">
        <f>main!G33</f>
        <v>0</v>
      </c>
      <c r="H33">
        <f>main!H33</f>
        <v>0</v>
      </c>
      <c r="I33" s="2">
        <f>main!I33</f>
        <v>0</v>
      </c>
      <c r="J33">
        <f>main!J33</f>
        <v>0</v>
      </c>
    </row>
    <row r="34" spans="3:10" x14ac:dyDescent="0.25">
      <c r="C34" t="str">
        <f>main!C34</f>
        <v>CRC</v>
      </c>
      <c r="D34" s="2">
        <f>main!D34</f>
        <v>0</v>
      </c>
      <c r="E34">
        <f>main!E34</f>
        <v>0</v>
      </c>
      <c r="F34">
        <f>main!F34</f>
        <v>0</v>
      </c>
      <c r="G34" t="str">
        <f>main!G34</f>
        <v>uint32_t</v>
      </c>
      <c r="H34" t="str">
        <f>main!H34</f>
        <v>frequency</v>
      </c>
      <c r="I34" s="2" t="str">
        <f>main!I34</f>
        <v>EU868_CALIBRATION_FREQ</v>
      </c>
      <c r="J34">
        <f>main!J34</f>
        <v>0</v>
      </c>
    </row>
    <row r="35" spans="3:10" x14ac:dyDescent="0.25">
      <c r="C35" t="str">
        <f>main!C35</f>
        <v>IQInverted</v>
      </c>
      <c r="D35" s="2">
        <f>main!D35</f>
        <v>0</v>
      </c>
      <c r="E35">
        <f>main!E35</f>
        <v>0</v>
      </c>
      <c r="F35">
        <f>main!F35</f>
        <v>0</v>
      </c>
      <c r="G35" t="str">
        <f>main!G35</f>
        <v>uint32_t</v>
      </c>
      <c r="H35" t="str">
        <f>main!H35</f>
        <v>frequencyDeviation</v>
      </c>
      <c r="I35" s="2">
        <f>main!I35</f>
        <v>25000</v>
      </c>
      <c r="J35">
        <f>main!J35</f>
        <v>0</v>
      </c>
    </row>
    <row r="36" spans="3:10" x14ac:dyDescent="0.25">
      <c r="C36" t="str">
        <f>main!C36</f>
        <v>HopPeriod</v>
      </c>
      <c r="D36" s="2">
        <f>main!D36</f>
        <v>0</v>
      </c>
      <c r="E36">
        <f>main!E36</f>
        <v>0</v>
      </c>
      <c r="F36">
        <f>main!F36</f>
        <v>0</v>
      </c>
      <c r="G36" t="str">
        <f>main!G36</f>
        <v>uint32_t</v>
      </c>
      <c r="H36" t="str">
        <f>main!H36</f>
        <v>bitRate</v>
      </c>
      <c r="I36" s="2">
        <f>main!I36</f>
        <v>50000</v>
      </c>
      <c r="J36">
        <f>main!J36</f>
        <v>0</v>
      </c>
    </row>
    <row r="37" spans="3:10" x14ac:dyDescent="0.25">
      <c r="C37" t="str">
        <f>main!C37</f>
        <v>errorCodingRate</v>
      </c>
      <c r="D37" s="2">
        <f>main!D37</f>
        <v>0</v>
      </c>
      <c r="E37">
        <f>main!E37</f>
        <v>0</v>
      </c>
      <c r="F37">
        <f>main!F37</f>
        <v>0</v>
      </c>
      <c r="G37" t="str">
        <f>main!G37</f>
        <v>uint16_t</v>
      </c>
      <c r="H37" t="str">
        <f>main!H37</f>
        <v>preambleLen</v>
      </c>
      <c r="I37" s="2">
        <f>main!I37</f>
        <v>8</v>
      </c>
      <c r="J37">
        <f>main!J37</f>
        <v>0</v>
      </c>
    </row>
    <row r="38" spans="3:10" x14ac:dyDescent="0.25">
      <c r="C38" t="str">
        <f>main!C38</f>
        <v>implicitHeaderMode</v>
      </c>
      <c r="D38" s="2">
        <f>main!D38</f>
        <v>0</v>
      </c>
      <c r="E38">
        <f>main!E38</f>
        <v>0</v>
      </c>
      <c r="F38">
        <f>main!F38</f>
        <v>0</v>
      </c>
      <c r="G38" t="str">
        <f>main!G38</f>
        <v>uint8_t</v>
      </c>
      <c r="H38" t="str">
        <f>main!H38</f>
        <v>syncWordLoRa</v>
      </c>
      <c r="I38" s="2" t="str">
        <f>main!I38</f>
        <v>0x34</v>
      </c>
      <c r="J38">
        <f>main!J38</f>
        <v>0</v>
      </c>
    </row>
    <row r="39" spans="3:10" x14ac:dyDescent="0.25">
      <c r="C39" t="str">
        <f>main!C39</f>
        <v>preambleLen</v>
      </c>
      <c r="D39" s="2">
        <f>main!D39</f>
        <v>0</v>
      </c>
      <c r="E39">
        <f>main!E39</f>
        <v>0</v>
      </c>
      <c r="F39">
        <f>main!F39</f>
        <v>0</v>
      </c>
      <c r="G39" t="str">
        <f>main!G39</f>
        <v>uint8_t</v>
      </c>
      <c r="H39" t="str">
        <f>main!H39</f>
        <v>syncWord</v>
      </c>
      <c r="I39" s="2" t="str">
        <f>main!I39</f>
        <v>0xc1 0x94 0xc1</v>
      </c>
      <c r="J39">
        <f>main!J39</f>
        <v>0</v>
      </c>
    </row>
    <row r="40" spans="3:10" x14ac:dyDescent="0.25">
      <c r="C40" t="str">
        <f>main!C40</f>
        <v>symbolTimeout</v>
      </c>
      <c r="D40" s="2">
        <f>main!D40</f>
        <v>0</v>
      </c>
      <c r="E40">
        <f>main!E40</f>
        <v>0</v>
      </c>
      <c r="F40">
        <f>main!F40</f>
        <v>0</v>
      </c>
      <c r="G40" t="str">
        <f>main!G40</f>
        <v>uint8_t</v>
      </c>
      <c r="H40" t="str">
        <f>main!H40</f>
        <v>syncWordLen</v>
      </c>
      <c r="I40" s="2">
        <f>main!I40</f>
        <v>3</v>
      </c>
      <c r="J40">
        <f>main!J40</f>
        <v>0</v>
      </c>
    </row>
    <row r="41" spans="3:10" x14ac:dyDescent="0.25">
      <c r="C41" t="str">
        <f>main!C41</f>
        <v>FSKfreqDeviation</v>
      </c>
      <c r="D41" s="2">
        <f>main!D41</f>
        <v>0</v>
      </c>
      <c r="E41">
        <f>main!E41</f>
        <v>0</v>
      </c>
      <c r="F41">
        <f>main!F41</f>
        <v>0</v>
      </c>
      <c r="G41" t="str">
        <f>main!G41</f>
        <v>RadioModulation_t</v>
      </c>
      <c r="H41" t="str">
        <f>main!H41</f>
        <v>modulation</v>
      </c>
      <c r="I41" s="2" t="str">
        <f>main!I41</f>
        <v>MODULATION_LORA</v>
      </c>
      <c r="J41">
        <f>main!J41</f>
        <v>0</v>
      </c>
    </row>
    <row r="42" spans="3:10" x14ac:dyDescent="0.25">
      <c r="C42" t="str">
        <f>main!C42</f>
        <v>FSKBitRate</v>
      </c>
      <c r="D42" s="2">
        <f>main!D42</f>
        <v>0</v>
      </c>
      <c r="E42">
        <f>main!E42</f>
        <v>0</v>
      </c>
      <c r="F42">
        <f>main!F42</f>
        <v>0</v>
      </c>
      <c r="G42" t="str">
        <f>main!G42</f>
        <v>RadioDataRate_t</v>
      </c>
      <c r="H42" t="str">
        <f>main!H42</f>
        <v>dataRate</v>
      </c>
      <c r="I42" s="2" t="str">
        <f>main!I42</f>
        <v>SF_12</v>
      </c>
      <c r="J42">
        <f>main!J42</f>
        <v>0</v>
      </c>
    </row>
    <row r="43" spans="3:10" x14ac:dyDescent="0.25">
      <c r="C43" t="str">
        <f>main!C43</f>
        <v>FSK_PREAMBLE</v>
      </c>
      <c r="D43" s="2">
        <f>main!D43</f>
        <v>0</v>
      </c>
      <c r="E43">
        <f>main!E43</f>
        <v>0</v>
      </c>
      <c r="F43">
        <f>main!F43</f>
        <v>0</v>
      </c>
      <c r="G43" t="str">
        <f>main!G43</f>
        <v>RadioLoRaBandWidth_t</v>
      </c>
      <c r="H43" t="str">
        <f>main!H43</f>
        <v>bandWidth</v>
      </c>
      <c r="I43" s="2" t="str">
        <f>main!I43</f>
        <v>BW_125KHZ</v>
      </c>
      <c r="J43">
        <f>main!J43</f>
        <v>0</v>
      </c>
    </row>
    <row r="44" spans="3:10" x14ac:dyDescent="0.25">
      <c r="C44" t="str">
        <f>main!C44</f>
        <v>fskDataShaping</v>
      </c>
      <c r="D44" s="2">
        <f>main!D44</f>
        <v>0</v>
      </c>
      <c r="E44">
        <f>main!E44</f>
        <v>0</v>
      </c>
      <c r="F44">
        <f>main!F44</f>
        <v>0</v>
      </c>
      <c r="G44" t="str">
        <f>main!G44</f>
        <v>int8_t</v>
      </c>
      <c r="H44" t="str">
        <f>main!H44</f>
        <v>outputPower</v>
      </c>
      <c r="I44" s="2">
        <f>main!I44</f>
        <v>1</v>
      </c>
      <c r="J44">
        <f>main!J44</f>
        <v>0</v>
      </c>
    </row>
    <row r="45" spans="3:10" x14ac:dyDescent="0.25">
      <c r="C45">
        <f>main!C45</f>
        <v>0</v>
      </c>
      <c r="D45" s="2">
        <f>main!D45</f>
        <v>0</v>
      </c>
      <c r="E45">
        <f>main!E45</f>
        <v>0</v>
      </c>
      <c r="F45">
        <f>main!F45</f>
        <v>0</v>
      </c>
      <c r="G45" t="str">
        <f>main!G45</f>
        <v>uint8_t</v>
      </c>
      <c r="H45" t="str">
        <f>main!H45</f>
        <v>crcOn</v>
      </c>
      <c r="I45" s="2">
        <f>main!I45</f>
        <v>1</v>
      </c>
      <c r="J45">
        <f>main!J45</f>
        <v>0</v>
      </c>
    </row>
    <row r="46" spans="3:10" x14ac:dyDescent="0.25">
      <c r="C46">
        <f>main!C46</f>
        <v>0</v>
      </c>
      <c r="D46" s="2">
        <f>main!D46</f>
        <v>0</v>
      </c>
      <c r="E46">
        <f>main!E46</f>
        <v>0</v>
      </c>
      <c r="F46">
        <f>main!F46</f>
        <v>0</v>
      </c>
      <c r="G46" t="str">
        <f>main!G46</f>
        <v>uint8_t</v>
      </c>
      <c r="H46" t="str">
        <f>main!H46</f>
        <v>paBoost</v>
      </c>
      <c r="I46" s="2" t="str">
        <f>main!I46</f>
        <v>0</v>
      </c>
      <c r="J46">
        <f>main!J46</f>
        <v>0</v>
      </c>
    </row>
    <row r="47" spans="3:10" x14ac:dyDescent="0.25">
      <c r="C47">
        <f>main!C47</f>
        <v>0</v>
      </c>
      <c r="D47" s="2">
        <f>main!D47</f>
        <v>0</v>
      </c>
      <c r="E47">
        <f>main!E47</f>
        <v>0</v>
      </c>
      <c r="F47">
        <f>main!F47</f>
        <v>0</v>
      </c>
      <c r="G47" t="str">
        <f>main!G47</f>
        <v>uint8_t</v>
      </c>
      <c r="H47" t="str">
        <f>main!H47</f>
        <v>flags</v>
      </c>
      <c r="I47" s="2" t="str">
        <f>main!I47</f>
        <v>0</v>
      </c>
      <c r="J47">
        <f>main!J47</f>
        <v>0</v>
      </c>
    </row>
    <row r="48" spans="3:10" x14ac:dyDescent="0.25">
      <c r="C48">
        <f>main!C48</f>
        <v>0</v>
      </c>
      <c r="D48" s="2">
        <f>main!D48</f>
        <v>0</v>
      </c>
      <c r="E48">
        <f>main!E48</f>
        <v>0</v>
      </c>
      <c r="F48">
        <f>main!F48</f>
        <v>0</v>
      </c>
      <c r="G48" t="str">
        <f>main!G48</f>
        <v>uint16_t</v>
      </c>
      <c r="H48" t="str">
        <f>main!H48</f>
        <v>frequencyHopPeriod</v>
      </c>
      <c r="I48" s="2" t="str">
        <f>main!I48</f>
        <v>0</v>
      </c>
      <c r="J48">
        <f>main!J48</f>
        <v>0</v>
      </c>
    </row>
    <row r="49" spans="3:10" x14ac:dyDescent="0.25">
      <c r="C49">
        <f>main!C49</f>
        <v>0</v>
      </c>
      <c r="D49" s="2">
        <f>main!D49</f>
        <v>0</v>
      </c>
      <c r="E49">
        <f>main!E49</f>
        <v>0</v>
      </c>
      <c r="F49">
        <f>main!F49</f>
        <v>0</v>
      </c>
      <c r="G49" t="str">
        <f>main!G49</f>
        <v>uint8_t</v>
      </c>
      <c r="H49" t="str">
        <f>main!H49</f>
        <v>iqInverted</v>
      </c>
      <c r="I49" s="2" t="str">
        <f>main!I49</f>
        <v>0</v>
      </c>
      <c r="J49">
        <f>main!J49</f>
        <v>0</v>
      </c>
    </row>
    <row r="50" spans="3:10" x14ac:dyDescent="0.25">
      <c r="C50">
        <f>main!C50</f>
        <v>0</v>
      </c>
      <c r="D50" s="2">
        <f>main!D50</f>
        <v>0</v>
      </c>
      <c r="E50">
        <f>main!E50</f>
        <v>0</v>
      </c>
      <c r="F50">
        <f>main!F50</f>
        <v>0</v>
      </c>
      <c r="G50" t="str">
        <f>main!G50</f>
        <v>RadioErrorCodingRate_t</v>
      </c>
      <c r="H50" t="str">
        <f>main!H50</f>
        <v>errorCodingRate</v>
      </c>
      <c r="I50" s="2" t="str">
        <f>main!I50</f>
        <v>CR_4_5</v>
      </c>
      <c r="J50">
        <f>main!J50</f>
        <v>0</v>
      </c>
    </row>
    <row r="51" spans="3:10" x14ac:dyDescent="0.25">
      <c r="C51">
        <f>main!C51</f>
        <v>0</v>
      </c>
      <c r="D51" s="2">
        <f>main!D51</f>
        <v>0</v>
      </c>
      <c r="E51">
        <f>main!E51</f>
        <v>0</v>
      </c>
      <c r="F51">
        <f>main!F51</f>
        <v>0</v>
      </c>
      <c r="G51" t="str">
        <f>main!G51</f>
        <v>uint8_t</v>
      </c>
      <c r="H51" t="str">
        <f>main!H51</f>
        <v>implicitHeaderMode</v>
      </c>
      <c r="I51" s="2" t="str">
        <f>main!I51</f>
        <v>0</v>
      </c>
      <c r="J51">
        <f>main!J51</f>
        <v>0</v>
      </c>
    </row>
    <row r="52" spans="3:10" x14ac:dyDescent="0.25">
      <c r="C52">
        <f>main!C52</f>
        <v>0</v>
      </c>
      <c r="D52" s="2">
        <f>main!D52</f>
        <v>0</v>
      </c>
      <c r="E52">
        <f>main!E52</f>
        <v>0</v>
      </c>
      <c r="F52">
        <f>main!F52</f>
        <v>0</v>
      </c>
      <c r="G52">
        <f>main!G52</f>
        <v>0</v>
      </c>
      <c r="H52">
        <f>main!H52</f>
        <v>0</v>
      </c>
      <c r="I52" s="2">
        <f>main!I52</f>
        <v>0</v>
      </c>
      <c r="J52">
        <f>main!J52</f>
        <v>0</v>
      </c>
    </row>
    <row r="53" spans="3:10" x14ac:dyDescent="0.25">
      <c r="C53">
        <f>main!C53</f>
        <v>0</v>
      </c>
      <c r="D53" s="2">
        <f>main!D53</f>
        <v>0</v>
      </c>
      <c r="E53">
        <f>main!E53</f>
        <v>0</v>
      </c>
      <c r="F53">
        <f>main!F53</f>
        <v>0</v>
      </c>
      <c r="G53" t="str">
        <f>main!G53</f>
        <v>uint8_t</v>
      </c>
      <c r="H53" t="str">
        <f>main!H53</f>
        <v>dataBufferLen</v>
      </c>
      <c r="I53" s="2" t="str">
        <f>main!I53</f>
        <v>0</v>
      </c>
      <c r="J53">
        <f>main!J53</f>
        <v>0</v>
      </c>
    </row>
    <row r="54" spans="3:10" x14ac:dyDescent="0.25">
      <c r="C54">
        <f>main!C54</f>
        <v>0</v>
      </c>
      <c r="D54" s="2">
        <f>main!D54</f>
        <v>0</v>
      </c>
      <c r="E54">
        <f>main!E54</f>
        <v>0</v>
      </c>
      <c r="F54">
        <f>main!F54</f>
        <v>0</v>
      </c>
      <c r="G54" t="str">
        <f>main!G54</f>
        <v>uint8_t *</v>
      </c>
      <c r="H54" t="str">
        <f>main!H54</f>
        <v>dataBuffer</v>
      </c>
      <c r="I54" s="2" t="str">
        <f>main!I54</f>
        <v>LoRa_radioBuffer</v>
      </c>
      <c r="J54">
        <f>main!J54</f>
        <v>0</v>
      </c>
    </row>
    <row r="55" spans="3:10" x14ac:dyDescent="0.25">
      <c r="C55">
        <f>main!C55</f>
        <v>0</v>
      </c>
      <c r="D55" s="2">
        <f>main!D55</f>
        <v>0</v>
      </c>
      <c r="E55">
        <f>main!E55</f>
        <v>0</v>
      </c>
      <c r="F55">
        <f>main!F55</f>
        <v>0</v>
      </c>
      <c r="G55" t="str">
        <f>main!G55</f>
        <v>uint8_t</v>
      </c>
      <c r="H55" t="str">
        <f>main!H55</f>
        <v>timeOnAirTimerId</v>
      </c>
      <c r="I55" s="2" t="str">
        <f>main!I55</f>
        <v>0</v>
      </c>
      <c r="J55">
        <f>main!J55</f>
        <v>0</v>
      </c>
    </row>
    <row r="56" spans="3:10" x14ac:dyDescent="0.25">
      <c r="C56">
        <f>main!C56</f>
        <v>0</v>
      </c>
      <c r="D56" s="2">
        <f>main!D56</f>
        <v>0</v>
      </c>
      <c r="E56">
        <f>main!E56</f>
        <v>0</v>
      </c>
      <c r="F56">
        <f>main!F56</f>
        <v>0</v>
      </c>
      <c r="G56" t="str">
        <f>main!G56</f>
        <v>uint8_t</v>
      </c>
      <c r="H56" t="str">
        <f>main!H56</f>
        <v>fskRxWindowTimerId</v>
      </c>
      <c r="I56" s="2" t="str">
        <f>main!I56</f>
        <v>0</v>
      </c>
      <c r="J56" t="str">
        <f>main!J56</f>
        <v>RADIO_RxFSKTimeout</v>
      </c>
    </row>
    <row r="57" spans="3:10" x14ac:dyDescent="0.25">
      <c r="C57">
        <f>main!C57</f>
        <v>0</v>
      </c>
      <c r="D57" s="2">
        <f>main!D57</f>
        <v>0</v>
      </c>
      <c r="E57">
        <f>main!E57</f>
        <v>0</v>
      </c>
      <c r="F57">
        <f>main!F57</f>
        <v>0</v>
      </c>
      <c r="G57" t="str">
        <f>main!G57</f>
        <v>uint8_t</v>
      </c>
      <c r="H57" t="str">
        <f>main!H57</f>
        <v>watchdogTimerId</v>
      </c>
      <c r="I57" s="2" t="str">
        <f>main!I57</f>
        <v>0</v>
      </c>
      <c r="J57" t="str">
        <f>main!J57</f>
        <v>RADIO_WatchdogTimeout</v>
      </c>
    </row>
    <row r="58" spans="3:10" x14ac:dyDescent="0.25">
      <c r="C58">
        <f>main!C58</f>
        <v>0</v>
      </c>
      <c r="D58" s="2">
        <f>main!D58</f>
        <v>0</v>
      </c>
      <c r="E58">
        <f>main!E58</f>
        <v>0</v>
      </c>
      <c r="F58">
        <f>main!F58</f>
        <v>0</v>
      </c>
      <c r="G58" t="str">
        <f>main!G58</f>
        <v>uint32_t</v>
      </c>
      <c r="H58" t="str">
        <f>main!H58</f>
        <v>watchdogTimerTimeout</v>
      </c>
      <c r="I58" s="2" t="str">
        <f>main!I58</f>
        <v>WATCHDOG_DEFAULT_TIME</v>
      </c>
      <c r="J58">
        <f>main!J58</f>
        <v>0</v>
      </c>
    </row>
    <row r="59" spans="3:10" x14ac:dyDescent="0.25">
      <c r="C59">
        <f>main!C59</f>
        <v>0</v>
      </c>
      <c r="D59" s="2">
        <f>main!D59</f>
        <v>0</v>
      </c>
      <c r="E59">
        <f>main!E59</f>
        <v>0</v>
      </c>
      <c r="F59">
        <f>main!F59</f>
        <v>0</v>
      </c>
      <c r="G59" t="str">
        <f>main!G59</f>
        <v>uint8_t</v>
      </c>
      <c r="H59" t="str">
        <f>main!H59</f>
        <v>initialized</v>
      </c>
      <c r="I59" s="2">
        <f>main!I59</f>
        <v>1</v>
      </c>
      <c r="J59">
        <f>main!J59</f>
        <v>0</v>
      </c>
    </row>
    <row r="60" spans="3:10" x14ac:dyDescent="0.25">
      <c r="C60">
        <f>main!C60</f>
        <v>0</v>
      </c>
      <c r="D60" s="2">
        <f>main!D60</f>
        <v>0</v>
      </c>
      <c r="E60">
        <f>main!E60</f>
        <v>0</v>
      </c>
      <c r="F60">
        <f>main!F60</f>
        <v>0</v>
      </c>
      <c r="G60" t="str">
        <f>main!G60</f>
        <v>uint32_t</v>
      </c>
      <c r="H60" t="str">
        <f>main!H60</f>
        <v>fhssNextFrequency</v>
      </c>
      <c r="I60" s="2" t="str">
        <f>main!I60</f>
        <v>NULL</v>
      </c>
      <c r="J60">
        <f>main!J60</f>
        <v>0</v>
      </c>
    </row>
    <row r="61" spans="3:10" x14ac:dyDescent="0.25">
      <c r="C61">
        <f>main!C61</f>
        <v>0</v>
      </c>
      <c r="D61" s="2">
        <f>main!D61</f>
        <v>0</v>
      </c>
      <c r="E61">
        <f>main!E61</f>
        <v>0</v>
      </c>
      <c r="F61">
        <f>main!F61</f>
        <v>0</v>
      </c>
      <c r="G61" t="str">
        <f>main!G61</f>
        <v>uint8_t</v>
      </c>
      <c r="H61" t="str">
        <f>main!H61</f>
        <v>regVersion</v>
      </c>
      <c r="I61" s="2" t="str">
        <f>main!I61</f>
        <v>REG_VERSION</v>
      </c>
      <c r="J61">
        <f>main!J61</f>
        <v>0</v>
      </c>
    </row>
    <row r="62" spans="3:10" x14ac:dyDescent="0.25">
      <c r="C62">
        <f>main!C62</f>
        <v>0</v>
      </c>
      <c r="D62" s="2">
        <f>main!D62</f>
        <v>0</v>
      </c>
      <c r="E62">
        <f>main!E62</f>
        <v>0</v>
      </c>
      <c r="F62">
        <f>main!F62</f>
        <v>0</v>
      </c>
      <c r="G62" t="str">
        <f>main!G62</f>
        <v>int8_t</v>
      </c>
      <c r="H62" t="str">
        <f>main!H62</f>
        <v>packetSNR</v>
      </c>
      <c r="I62" s="2">
        <f>main!I62</f>
        <v>-128</v>
      </c>
      <c r="J62">
        <f>main!J62</f>
        <v>0</v>
      </c>
    </row>
    <row r="63" spans="3:10" x14ac:dyDescent="0.25">
      <c r="C63">
        <f>main!C63</f>
        <v>0</v>
      </c>
      <c r="D63" s="2">
        <f>main!D63</f>
        <v>0</v>
      </c>
      <c r="E63">
        <f>main!E63</f>
        <v>0</v>
      </c>
      <c r="F63">
        <f>main!F63</f>
        <v>0</v>
      </c>
      <c r="G63" t="str">
        <f>main!G63</f>
        <v>RadioFSKShaping_t</v>
      </c>
      <c r="H63" t="str">
        <f>main!H63</f>
        <v>fskDataShaping</v>
      </c>
      <c r="I63" s="2" t="str">
        <f>main!I63</f>
        <v>FSK_SHAPING_GAUSS_BT_0_5</v>
      </c>
      <c r="J63">
        <f>main!J63</f>
        <v>0</v>
      </c>
    </row>
    <row r="64" spans="3:10" x14ac:dyDescent="0.25">
      <c r="C64">
        <f>main!C64</f>
        <v>0</v>
      </c>
      <c r="D64" s="2">
        <f>main!D64</f>
        <v>0</v>
      </c>
      <c r="E64">
        <f>main!E64</f>
        <v>0</v>
      </c>
      <c r="F64">
        <f>main!F64</f>
        <v>0</v>
      </c>
      <c r="G64" t="str">
        <f>main!G64</f>
        <v>RadioFSKBandWidth_t</v>
      </c>
      <c r="H64" t="str">
        <f>main!H64</f>
        <v>rxBw</v>
      </c>
      <c r="I64" s="2" t="str">
        <f>main!I64</f>
        <v>FSKBW_50_0KHZ</v>
      </c>
      <c r="J64">
        <f>main!J64</f>
        <v>0</v>
      </c>
    </row>
    <row r="65" spans="3:10" x14ac:dyDescent="0.25">
      <c r="C65">
        <f>main!C65</f>
        <v>0</v>
      </c>
      <c r="D65" s="2">
        <f>main!D65</f>
        <v>0</v>
      </c>
      <c r="E65">
        <f>main!E65</f>
        <v>0</v>
      </c>
      <c r="F65">
        <f>main!F65</f>
        <v>0</v>
      </c>
      <c r="G65" t="str">
        <f>main!G65</f>
        <v>RadioFSKBandWidth_t</v>
      </c>
      <c r="H65" t="str">
        <f>main!H65</f>
        <v>afcBw</v>
      </c>
      <c r="I65" s="2" t="str">
        <f>main!I65</f>
        <v>FSKBW_83_3KHZ</v>
      </c>
      <c r="J65">
        <f>main!J65</f>
        <v>0</v>
      </c>
    </row>
    <row r="66" spans="3:10" x14ac:dyDescent="0.25">
      <c r="C66">
        <f>main!C66</f>
        <v>0</v>
      </c>
      <c r="D66" s="2">
        <f>main!D66</f>
        <v>0</v>
      </c>
      <c r="E66">
        <f>main!E66</f>
        <v>0</v>
      </c>
      <c r="F66">
        <f>main!F66</f>
        <v>0</v>
      </c>
      <c r="G66">
        <f>main!G66</f>
        <v>0</v>
      </c>
      <c r="H66">
        <f>main!H66</f>
        <v>0</v>
      </c>
      <c r="I66" s="2">
        <f>main!I66</f>
        <v>0</v>
      </c>
      <c r="J66">
        <f>main!J66</f>
        <v>0</v>
      </c>
    </row>
    <row r="67" spans="3:10" x14ac:dyDescent="0.25">
      <c r="C67">
        <f>main!C67</f>
        <v>0</v>
      </c>
      <c r="D67" s="2">
        <f>main!D67</f>
        <v>0</v>
      </c>
      <c r="E67">
        <f>main!E67</f>
        <v>0</v>
      </c>
      <c r="F67">
        <f>main!F67</f>
        <v>0</v>
      </c>
      <c r="G67">
        <f>main!G67</f>
        <v>0</v>
      </c>
      <c r="H67">
        <f>main!H67</f>
        <v>0</v>
      </c>
      <c r="I67" s="2">
        <f>main!I67</f>
        <v>0</v>
      </c>
      <c r="J67">
        <f>main!J67</f>
        <v>0</v>
      </c>
    </row>
    <row r="68" spans="3:10" x14ac:dyDescent="0.25">
      <c r="C68">
        <f>main!C68</f>
        <v>0</v>
      </c>
      <c r="D68" s="2">
        <f>main!D68</f>
        <v>0</v>
      </c>
      <c r="E68">
        <f>main!E68</f>
        <v>0</v>
      </c>
      <c r="F68">
        <f>main!F68</f>
        <v>0</v>
      </c>
      <c r="G68">
        <f>main!G68</f>
        <v>0</v>
      </c>
      <c r="H68">
        <f>main!H68</f>
        <v>0</v>
      </c>
      <c r="I68" s="2">
        <f>main!I68</f>
        <v>0</v>
      </c>
      <c r="J68">
        <f>main!J68</f>
        <v>0</v>
      </c>
    </row>
    <row r="69" spans="3:10" x14ac:dyDescent="0.25">
      <c r="C69">
        <f>main!C69</f>
        <v>0</v>
      </c>
      <c r="D69" s="2">
        <f>main!D69</f>
        <v>0</v>
      </c>
      <c r="E69">
        <f>main!E69</f>
        <v>0</v>
      </c>
      <c r="F69">
        <f>main!F69</f>
        <v>0</v>
      </c>
      <c r="G69" t="str">
        <f>main!G69</f>
        <v>ChannelParams_t</v>
      </c>
      <c r="H69" t="str">
        <f>main!H69</f>
        <v>Channels</v>
      </c>
      <c r="I69" s="2" t="str">
        <f>main!I69</f>
        <v>DefaultChannels868</v>
      </c>
      <c r="J69">
        <f>main!J69</f>
        <v>0</v>
      </c>
    </row>
    <row r="70" spans="3:10" x14ac:dyDescent="0.25">
      <c r="C70">
        <f>main!C70</f>
        <v>0</v>
      </c>
      <c r="D70" s="2">
        <f>main!D70</f>
        <v>0</v>
      </c>
      <c r="E70">
        <f>main!E70</f>
        <v>0</v>
      </c>
      <c r="F70">
        <f>main!F70</f>
        <v>0</v>
      </c>
      <c r="G70" t="str">
        <f>main!G70</f>
        <v>uint8_t</v>
      </c>
      <c r="H70" t="str">
        <f>main!H70</f>
        <v>maxPayloadSize[]</v>
      </c>
      <c r="I70" s="2" t="str">
        <f>main!I70</f>
        <v>MAX_EU_SINGLE_BAND_CHANNELS</v>
      </c>
      <c r="J70">
        <f>main!J70</f>
        <v>0</v>
      </c>
    </row>
    <row r="71" spans="3:10" x14ac:dyDescent="0.25">
      <c r="C71">
        <f>main!C71</f>
        <v>0</v>
      </c>
      <c r="D71" s="2">
        <f>main!D71</f>
        <v>0</v>
      </c>
      <c r="E71">
        <f>main!E71</f>
        <v>0</v>
      </c>
      <c r="F71">
        <f>main!F71</f>
        <v>0</v>
      </c>
      <c r="G71" t="str">
        <f>main!G71</f>
        <v>uint8_t</v>
      </c>
      <c r="H71" t="str">
        <f>main!H71</f>
        <v>modulation[]</v>
      </c>
      <c r="I71" s="2">
        <f>main!I71</f>
        <v>0</v>
      </c>
      <c r="J71">
        <f>main!J71</f>
        <v>0</v>
      </c>
    </row>
    <row r="72" spans="3:10" x14ac:dyDescent="0.25">
      <c r="C72">
        <f>main!C72</f>
        <v>0</v>
      </c>
      <c r="D72" s="2">
        <f>main!D72</f>
        <v>0</v>
      </c>
      <c r="E72">
        <f>main!E72</f>
        <v>0</v>
      </c>
      <c r="F72">
        <f>main!F72</f>
        <v>0</v>
      </c>
      <c r="G72" t="str">
        <f>main!G72</f>
        <v>uint8_t</v>
      </c>
      <c r="H72" t="str">
        <f>main!H72</f>
        <v>spreadingFactor[]</v>
      </c>
      <c r="I72" s="2">
        <f>main!I72</f>
        <v>0</v>
      </c>
      <c r="J72">
        <f>main!J72</f>
        <v>0</v>
      </c>
    </row>
    <row r="73" spans="3:10" x14ac:dyDescent="0.25">
      <c r="C73">
        <f>main!C73</f>
        <v>0</v>
      </c>
      <c r="D73" s="2">
        <f>main!D73</f>
        <v>0</v>
      </c>
      <c r="E73">
        <f>main!E73</f>
        <v>0</v>
      </c>
      <c r="F73">
        <f>main!F73</f>
        <v>0</v>
      </c>
      <c r="G73" t="str">
        <f>main!G73</f>
        <v>uint8_t</v>
      </c>
      <c r="H73" t="str">
        <f>main!H73</f>
        <v>bandwidth[]</v>
      </c>
      <c r="I73" s="2">
        <f>main!I73</f>
        <v>0</v>
      </c>
      <c r="J73">
        <f>main!J73</f>
        <v>0</v>
      </c>
    </row>
    <row r="74" spans="3:10" x14ac:dyDescent="0.25">
      <c r="C74">
        <f>main!C74</f>
        <v>0</v>
      </c>
      <c r="D74" s="2">
        <f>main!D74</f>
        <v>0</v>
      </c>
      <c r="E74">
        <f>main!E74</f>
        <v>0</v>
      </c>
      <c r="F74">
        <f>main!F74</f>
        <v>0</v>
      </c>
      <c r="G74" t="str">
        <f>main!G74</f>
        <v>uint8_t</v>
      </c>
      <c r="H74" t="str">
        <f>main!H74</f>
        <v>txPower868[]</v>
      </c>
      <c r="I74" s="2">
        <f>main!I74</f>
        <v>0</v>
      </c>
      <c r="J74">
        <f>main!J74</f>
        <v>0</v>
      </c>
    </row>
    <row r="75" spans="3:10" x14ac:dyDescent="0.25">
      <c r="C75">
        <f>main!C75</f>
        <v>0</v>
      </c>
      <c r="D75" s="2">
        <f>main!D75</f>
        <v>0</v>
      </c>
      <c r="E75">
        <f>main!E75</f>
        <v>0</v>
      </c>
      <c r="F75">
        <f>main!F75</f>
        <v>0</v>
      </c>
      <c r="G75" t="str">
        <f>main!G75</f>
        <v>uint8_t</v>
      </c>
      <c r="H75" t="str">
        <f>main!H75</f>
        <v>LoRa_radioBuffer[]</v>
      </c>
      <c r="I75" s="2" t="str">
        <f>main!I75</f>
        <v>MAXIMUM_BUFFER_LENGTH</v>
      </c>
      <c r="J75">
        <f>main!J75</f>
        <v>0</v>
      </c>
    </row>
    <row r="76" spans="3:10" x14ac:dyDescent="0.25">
      <c r="C76">
        <f>main!C76</f>
        <v>0</v>
      </c>
      <c r="D76" s="2">
        <f>main!D76</f>
        <v>0</v>
      </c>
      <c r="E76">
        <f>main!E76</f>
        <v>0</v>
      </c>
      <c r="F76">
        <f>main!F76</f>
        <v>0</v>
      </c>
      <c r="G76">
        <f>main!G76</f>
        <v>0</v>
      </c>
      <c r="H76">
        <f>main!H76</f>
        <v>0</v>
      </c>
      <c r="I76" s="2">
        <f>main!I76</f>
        <v>0</v>
      </c>
      <c r="J76">
        <f>main!J76</f>
        <v>0</v>
      </c>
    </row>
    <row r="77" spans="3:10" x14ac:dyDescent="0.25">
      <c r="C77">
        <f>main!C77</f>
        <v>0</v>
      </c>
      <c r="D77" s="2">
        <f>main!D77</f>
        <v>0</v>
      </c>
      <c r="E77">
        <f>main!E77</f>
        <v>0</v>
      </c>
      <c r="F77">
        <f>main!F77</f>
        <v>0</v>
      </c>
      <c r="G77">
        <f>main!G77</f>
        <v>0</v>
      </c>
      <c r="H77">
        <f>main!H77</f>
        <v>0</v>
      </c>
      <c r="I77" s="2">
        <f>main!I77</f>
        <v>0</v>
      </c>
      <c r="J77">
        <f>main!J77</f>
        <v>0</v>
      </c>
    </row>
    <row r="78" spans="3:10" x14ac:dyDescent="0.25">
      <c r="J78" t="e">
        <f>#REF!</f>
        <v>#REF!</v>
      </c>
    </row>
    <row r="79" spans="3:10" x14ac:dyDescent="0.25">
      <c r="J79">
        <f>function!E48</f>
        <v>0</v>
      </c>
    </row>
  </sheetData>
  <hyperlinks>
    <hyperlink ref="D20" location="LoRa_Send_Header!C1" display="LoRa_Send_Header" xr:uid="{87F9303A-2BDE-420F-8B03-D8008A5055EB}"/>
    <hyperlink ref="E21" location="LoRa_Send!e21" display="INVALID_BUFFER_LENGTH" xr:uid="{0446C8FE-1CE4-49AD-8D78-E5840C3B881C}"/>
    <hyperlink ref="E22" location="LoRa_Send!e22" display="LoRa_Send_problem" xr:uid="{E90DFDE9-9287-4114-BBCF-D9FDD6324090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rkusz4.fill_in_LoRa_Send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oRa_Send">
                <anchor moveWithCells="1" sizeWithCells="1">
                  <from>
                    <xdr:col>2</xdr:col>
                    <xdr:colOff>8626</xdr:colOff>
                    <xdr:row>7</xdr:row>
                    <xdr:rowOff>172528</xdr:rowOff>
                  </from>
                  <to>
                    <xdr:col>2</xdr:col>
                    <xdr:colOff>3079630</xdr:colOff>
                    <xdr:row>8</xdr:row>
                    <xdr:rowOff>172528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4ECE7-0122-4C74-99F3-7DF333B519C0}">
  <sheetPr codeName="Arkusz5"/>
  <dimension ref="B1:K77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138</v>
      </c>
      <c r="D1" s="2" t="s">
        <v>82</v>
      </c>
      <c r="E1" s="2" t="s">
        <v>83</v>
      </c>
      <c r="I1" s="2" t="s">
        <v>3</v>
      </c>
    </row>
    <row r="3" spans="2:10" x14ac:dyDescent="0.25">
      <c r="C3" t="str">
        <f>LoRa_Send!C3</f>
        <v>LoRa_transmitStatus</v>
      </c>
      <c r="D3" s="2" t="str">
        <f>I3</f>
        <v>LoRa_Handshaking_TX</v>
      </c>
      <c r="E3">
        <f>LoRa_Send!E3</f>
        <v>0</v>
      </c>
      <c r="F3">
        <f>LoRa_Send!F3</f>
        <v>0</v>
      </c>
      <c r="G3" t="str">
        <f>LoRa_Send!G3</f>
        <v>LoRaMacState_t</v>
      </c>
      <c r="H3" t="str">
        <f>LoRa_Send!H3</f>
        <v>LoRa_transmitStatus</v>
      </c>
      <c r="I3" s="6" t="s">
        <v>17</v>
      </c>
      <c r="J3">
        <f>LoRa_Send!J3</f>
        <v>0</v>
      </c>
    </row>
    <row r="4" spans="2:10" x14ac:dyDescent="0.25">
      <c r="C4" t="str">
        <f>LoRa_Send!C4</f>
        <v>LoRa_StatusDanych</v>
      </c>
      <c r="D4" s="2" t="str">
        <f>I4</f>
        <v>LoRa_transmiting</v>
      </c>
      <c r="E4">
        <f>LoRa_Send!E4</f>
        <v>0</v>
      </c>
      <c r="F4">
        <f>LoRa_Send!F4</f>
        <v>0</v>
      </c>
      <c r="G4" t="str">
        <f>LoRa_Send!G4</f>
        <v>LoRaStatus_t</v>
      </c>
      <c r="H4" t="str">
        <f>LoRa_Send!H4</f>
        <v>LoRa_StatusDanych</v>
      </c>
      <c r="I4" s="6" t="s">
        <v>113</v>
      </c>
      <c r="J4">
        <f>LoRa_Send!J4</f>
        <v>0</v>
      </c>
    </row>
    <row r="5" spans="2:10" x14ac:dyDescent="0.25">
      <c r="C5" t="str">
        <f>LoRa_Send!C5</f>
        <v>flags</v>
      </c>
      <c r="D5" s="2" t="str">
        <f>I47</f>
        <v>1</v>
      </c>
      <c r="E5">
        <f>LoRa_Send!E5</f>
        <v>0</v>
      </c>
      <c r="F5">
        <f>LoRa_Send!F5</f>
        <v>0</v>
      </c>
      <c r="G5" t="str">
        <f>LoRa_Send!G5</f>
        <v>bool</v>
      </c>
      <c r="H5" t="str">
        <f>LoRa_Send!H5</f>
        <v>LoRa_initialised</v>
      </c>
      <c r="I5" s="2" t="str">
        <f>LoRa_Send!I5</f>
        <v>ENABLED</v>
      </c>
      <c r="J5">
        <f>LoRa_Send!J5</f>
        <v>0</v>
      </c>
    </row>
    <row r="6" spans="2:10" x14ac:dyDescent="0.25">
      <c r="C6">
        <f>LoRa_Send!C6</f>
        <v>0</v>
      </c>
      <c r="D6" s="2">
        <f>LoRa_Send!D6</f>
        <v>0</v>
      </c>
      <c r="E6">
        <f>LoRa_Send!E6</f>
        <v>0</v>
      </c>
      <c r="F6">
        <f>LoRa_Send!F6</f>
        <v>0</v>
      </c>
      <c r="G6" t="str">
        <f>LoRa_Send!G6</f>
        <v>FCnt_t</v>
      </c>
      <c r="H6" t="str">
        <f>LoRa_Send!H6</f>
        <v>LoRa_Counter</v>
      </c>
      <c r="I6" s="6" t="s">
        <v>212</v>
      </c>
      <c r="J6">
        <f>LoRa_Send!J6</f>
        <v>0</v>
      </c>
    </row>
    <row r="7" spans="2:10" x14ac:dyDescent="0.25">
      <c r="C7" s="16"/>
      <c r="D7" s="25"/>
      <c r="E7" s="17"/>
      <c r="F7" s="18"/>
      <c r="G7" t="str">
        <f>LoRa_Send!G7</f>
        <v>uint8_t</v>
      </c>
      <c r="H7" t="str">
        <f>LoRa_Send!H7</f>
        <v>LoRa_Addres</v>
      </c>
      <c r="I7" s="2" t="str">
        <f>LoRa_Send!I7</f>
        <v>LoRaDeviceAddress</v>
      </c>
      <c r="J7">
        <f>LoRa_Send!J7</f>
        <v>0</v>
      </c>
    </row>
    <row r="8" spans="2:10" x14ac:dyDescent="0.25">
      <c r="C8" s="19"/>
      <c r="D8" s="26"/>
      <c r="E8" s="20"/>
      <c r="F8" s="21"/>
      <c r="G8" t="str">
        <f>LoRa_Send!G8</f>
        <v>uint8_t</v>
      </c>
      <c r="H8" t="str">
        <f>LoRa_Send!H8</f>
        <v>LoRa_TimerHandshaking</v>
      </c>
      <c r="I8" s="6" t="s">
        <v>10</v>
      </c>
      <c r="J8" t="str">
        <f>LoRa_Send!J8</f>
        <v>LoRa_TimerHandshakingCallback</v>
      </c>
    </row>
    <row r="9" spans="2:10" x14ac:dyDescent="0.25">
      <c r="B9" s="3"/>
      <c r="C9" s="19"/>
      <c r="D9" s="26"/>
      <c r="E9" s="20"/>
      <c r="F9" s="31" t="s">
        <v>234</v>
      </c>
      <c r="G9" t="str">
        <f>LoRa_Send!G9</f>
        <v>uint8_t</v>
      </c>
      <c r="H9" t="str">
        <f>LoRa_Send!H9</f>
        <v>LoRa_TimerRetransmit</v>
      </c>
      <c r="I9" s="2" t="str">
        <f>LoRa_Send!I9</f>
        <v>0</v>
      </c>
      <c r="J9" t="str">
        <f>LoRa_Send!J9</f>
        <v>LoRa_TimerRetransmitCallback</v>
      </c>
    </row>
    <row r="10" spans="2:10" x14ac:dyDescent="0.25">
      <c r="C10" s="41" t="s">
        <v>209</v>
      </c>
      <c r="D10" s="37" t="s">
        <v>139</v>
      </c>
      <c r="E10" s="32" t="s">
        <v>88</v>
      </c>
      <c r="F10" s="51" t="s">
        <v>230</v>
      </c>
      <c r="G10" t="str">
        <f>LoRa_Send!G10</f>
        <v>uint8_t</v>
      </c>
      <c r="H10" t="str">
        <f>LoRa_Send!H10</f>
        <v>LoRa_TimerWaitAck</v>
      </c>
      <c r="I10" s="2" t="str">
        <f>LoRa_Send!I10</f>
        <v>0</v>
      </c>
      <c r="J10" t="str">
        <f>LoRa_Send!J10</f>
        <v>LoRa_TimerWaitAckCallback</v>
      </c>
    </row>
    <row r="11" spans="2:10" x14ac:dyDescent="0.25">
      <c r="C11" s="33" t="s">
        <v>194</v>
      </c>
      <c r="D11" s="38" t="s">
        <v>139</v>
      </c>
      <c r="E11" s="34" t="s">
        <v>88</v>
      </c>
      <c r="F11" s="50" t="s">
        <v>230</v>
      </c>
      <c r="G11" t="str">
        <f>LoRa_Send!G11</f>
        <v>uint8_t</v>
      </c>
      <c r="H11" t="str">
        <f>LoRa_Send!H11</f>
        <v>LoRa_HeaderBufor</v>
      </c>
      <c r="I11" s="2" t="str">
        <f>LoRa_Send!I11</f>
        <v>LoRa_Addres, nxt_channel</v>
      </c>
      <c r="J11">
        <f>LoRa_Send!J11</f>
        <v>0</v>
      </c>
    </row>
    <row r="12" spans="2:10" x14ac:dyDescent="0.25">
      <c r="C12" s="43" t="s">
        <v>0</v>
      </c>
      <c r="D12" s="44" t="s">
        <v>24</v>
      </c>
      <c r="E12" s="47" t="s">
        <v>25</v>
      </c>
      <c r="F12" s="49" t="s">
        <v>230</v>
      </c>
      <c r="G12" t="str">
        <f>LoRa_Send!G12</f>
        <v>uint8_t</v>
      </c>
      <c r="H12" t="str">
        <f>LoRa_Send!H12</f>
        <v>LoRa_HeaderLength</v>
      </c>
      <c r="I12" s="2" t="str">
        <f>LoRa_Send!I12</f>
        <v>bufferHeadIndex</v>
      </c>
      <c r="J12">
        <f>LoRa_Send!J12</f>
        <v>0</v>
      </c>
    </row>
    <row r="13" spans="2:10" x14ac:dyDescent="0.25">
      <c r="C13" s="52" t="s">
        <v>148</v>
      </c>
      <c r="D13" s="53">
        <v>4</v>
      </c>
      <c r="E13" s="20"/>
      <c r="F13" s="55" t="s">
        <v>230</v>
      </c>
      <c r="G13" t="str">
        <f>LoRa_Send!G13</f>
        <v>uint8_t</v>
      </c>
      <c r="H13" t="str">
        <f>LoRa_Send!H13</f>
        <v>LoRa_Bufor</v>
      </c>
      <c r="I13" s="2" t="str">
        <f>LoRa_Send!I13</f>
        <v>bufferIndex, nxt_channel, data, CRC</v>
      </c>
      <c r="J13">
        <f>LoRa_Send!J13</f>
        <v>0</v>
      </c>
    </row>
    <row r="14" spans="2:10" x14ac:dyDescent="0.25">
      <c r="C14" s="19"/>
      <c r="D14" s="26"/>
      <c r="E14" s="20"/>
      <c r="F14" s="21"/>
      <c r="G14" t="str">
        <f>LoRa_Send!G14</f>
        <v>uint8_t</v>
      </c>
      <c r="H14" t="str">
        <f>LoRa_Send!H14</f>
        <v>LoRa_BuforLength</v>
      </c>
      <c r="I14" s="2" t="str">
        <f>LoRa_Send!I14</f>
        <v>bufferIndex</v>
      </c>
      <c r="J14">
        <f>LoRa_Send!J14</f>
        <v>0</v>
      </c>
    </row>
    <row r="15" spans="2:10" x14ac:dyDescent="0.25">
      <c r="C15" s="19"/>
      <c r="D15" s="26"/>
      <c r="E15" s="20"/>
      <c r="F15" s="21"/>
      <c r="G15" t="str">
        <f>LoRa_Send!G15</f>
        <v>uint8_t</v>
      </c>
      <c r="H15" t="str">
        <f>LoRa_Send!H15</f>
        <v>LoRa_Command</v>
      </c>
      <c r="I15" s="2">
        <f>LoRa_Send!I15</f>
        <v>0</v>
      </c>
      <c r="J15">
        <f>LoRa_Send!J15</f>
        <v>0</v>
      </c>
    </row>
    <row r="16" spans="2:10" x14ac:dyDescent="0.25">
      <c r="C16" s="19"/>
      <c r="D16" s="26"/>
      <c r="E16" s="20"/>
      <c r="F16" s="21"/>
      <c r="G16" t="str">
        <f>LoRa_Send!G16</f>
        <v>uint8_t</v>
      </c>
      <c r="H16" t="str">
        <f>LoRa_Send!H16</f>
        <v>LoRa_maxChannels</v>
      </c>
      <c r="I16" s="2" t="str">
        <f>LoRa_Send!I16</f>
        <v>MAX_EU_SINGLE_BAND_CHANNELS</v>
      </c>
      <c r="J16">
        <f>LoRa_Send!J16</f>
        <v>0</v>
      </c>
    </row>
    <row r="17" spans="3:10" x14ac:dyDescent="0.25">
      <c r="C17" s="19"/>
      <c r="D17" s="26"/>
      <c r="E17" s="20"/>
      <c r="F17" s="21"/>
      <c r="G17" t="str">
        <f>LoRa_Send!G17</f>
        <v>uint8_t</v>
      </c>
      <c r="H17" t="str">
        <f>LoRa_Send!H17</f>
        <v>LoRa_lastUsedChannelIndex</v>
      </c>
      <c r="I17" s="2" t="str">
        <f>LoRa_Send!I17</f>
        <v>channelRx</v>
      </c>
      <c r="J17">
        <f>LoRa_Send!J17</f>
        <v>0</v>
      </c>
    </row>
    <row r="18" spans="3:10" x14ac:dyDescent="0.25">
      <c r="C18" s="19"/>
      <c r="D18" s="26"/>
      <c r="E18" s="20"/>
      <c r="F18" s="21"/>
      <c r="G18" t="str">
        <f>LoRa_Send!G18</f>
        <v>ReceiveWindowParameters_t</v>
      </c>
      <c r="H18" t="str">
        <f>LoRa_Send!H18</f>
        <v>LoRa_ch0_params.frequency</v>
      </c>
      <c r="I18" s="2" t="str">
        <f>LoRa_Send!I18</f>
        <v>LoRa_CH0_frequency</v>
      </c>
      <c r="J18">
        <f>LoRa_Send!J18</f>
        <v>0</v>
      </c>
    </row>
    <row r="19" spans="3:10" x14ac:dyDescent="0.25">
      <c r="C19" s="19"/>
      <c r="D19" s="26"/>
      <c r="E19" s="20"/>
      <c r="F19" s="21"/>
      <c r="G19">
        <f>LoRa_Send!G19</f>
        <v>0</v>
      </c>
      <c r="H19" t="str">
        <f>LoRa_Send!H19</f>
        <v>LoRa_ch0_params.datarate</v>
      </c>
      <c r="I19" s="2" t="str">
        <f>LoRa_Send!I19</f>
        <v>LoRa_CH0_datarate</v>
      </c>
      <c r="J19">
        <f>LoRa_Send!J19</f>
        <v>0</v>
      </c>
    </row>
    <row r="20" spans="3:10" x14ac:dyDescent="0.25">
      <c r="C20" s="19"/>
      <c r="D20" s="66" t="s">
        <v>13</v>
      </c>
      <c r="E20" s="20"/>
      <c r="F20" s="21"/>
      <c r="G20" t="str">
        <f>LoRa_Send!G20</f>
        <v>ReceiveWindowParameters_t</v>
      </c>
      <c r="H20" t="str">
        <f>LoRa_Send!H20</f>
        <v>LoRa_receiveChannelParameters.frequency</v>
      </c>
      <c r="I20" s="2" t="str">
        <f>LoRa_Send!I20</f>
        <v>LoRa_Channels[channelRxIndex].frequency</v>
      </c>
      <c r="J20">
        <f>LoRa_Send!J20</f>
        <v>0</v>
      </c>
    </row>
    <row r="21" spans="3:10" x14ac:dyDescent="0.25">
      <c r="C21" s="72" t="s">
        <v>213</v>
      </c>
      <c r="D21" s="26"/>
      <c r="E21" s="71" t="s">
        <v>232</v>
      </c>
      <c r="F21" s="21"/>
      <c r="G21">
        <f>LoRa_Send!G21</f>
        <v>0</v>
      </c>
      <c r="H21" t="str">
        <f>LoRa_Send!H21</f>
        <v>LoRa_receiveChannelParameters.dataRate</v>
      </c>
      <c r="I21" s="2" t="str">
        <f>LoRa_Send!I21</f>
        <v>LoRa_currentDataRate</v>
      </c>
      <c r="J21">
        <f>LoRa_Send!J21</f>
        <v>0</v>
      </c>
    </row>
    <row r="22" spans="3:10" x14ac:dyDescent="0.25">
      <c r="C22" s="72" t="s">
        <v>214</v>
      </c>
      <c r="D22" s="26"/>
      <c r="E22" s="20"/>
      <c r="F22" s="21"/>
      <c r="G22" t="str">
        <f>LoRa_Send!G22</f>
        <v>ReceiveWindowParameters_t</v>
      </c>
      <c r="H22" t="str">
        <f>LoRa_Send!H22</f>
        <v>LoRa_sendChannelParameters.frequency</v>
      </c>
      <c r="I22" s="2" t="str">
        <f>LoRa_Send!I22</f>
        <v>LoRa_Channels[channelRxIndex].frequency</v>
      </c>
      <c r="J22">
        <f>LoRa_Send!J22</f>
        <v>0</v>
      </c>
    </row>
    <row r="23" spans="3:10" x14ac:dyDescent="0.25">
      <c r="C23" s="72" t="s">
        <v>186</v>
      </c>
      <c r="D23" s="26"/>
      <c r="E23" s="20"/>
      <c r="F23" s="21"/>
      <c r="G23">
        <f>LoRa_Send!G23</f>
        <v>0</v>
      </c>
      <c r="H23" t="str">
        <f>LoRa_Send!H23</f>
        <v>LoRa_sendChannelParameters.dataRate</v>
      </c>
      <c r="I23" s="2" t="str">
        <f>LoRa_Send!I23</f>
        <v>LoRa_currentDataRate</v>
      </c>
      <c r="J23">
        <f>LoRa_Send!J23</f>
        <v>0</v>
      </c>
    </row>
    <row r="24" spans="3:10" x14ac:dyDescent="0.25">
      <c r="C24" s="22"/>
      <c r="D24" s="27"/>
      <c r="E24" s="23"/>
      <c r="F24" s="24"/>
      <c r="G24" t="str">
        <f>LoRa_Send!G24</f>
        <v>uint8_t</v>
      </c>
      <c r="H24" t="str">
        <f>LoRa_Send!H24</f>
        <v>LoRa_txPower</v>
      </c>
      <c r="I24" s="2">
        <f>LoRa_Send!I24</f>
        <v>1</v>
      </c>
      <c r="J24">
        <f>LoRa_Send!J24</f>
        <v>0</v>
      </c>
    </row>
    <row r="25" spans="3:10" x14ac:dyDescent="0.25">
      <c r="C25" t="str">
        <f>LoRa_Send!C25</f>
        <v>DATA</v>
      </c>
      <c r="D25" s="42" t="str">
        <f>I11</f>
        <v>LoRa_Addres, nxt_channel</v>
      </c>
      <c r="E25">
        <f>LoRa_Send!E25</f>
        <v>0</v>
      </c>
      <c r="F25">
        <f>LoRa_Send!F25</f>
        <v>0</v>
      </c>
      <c r="G25" t="str">
        <f>LoRa_Send!G25</f>
        <v>uint8_t</v>
      </c>
      <c r="H25" t="str">
        <f>LoRa_Send!H25</f>
        <v>LoRa_syncWord</v>
      </c>
      <c r="I25" s="2" t="str">
        <f>LoRa_Send!I25</f>
        <v>0x34</v>
      </c>
      <c r="J25">
        <f>LoRa_Send!J25</f>
        <v>0</v>
      </c>
    </row>
    <row r="26" spans="3:10" x14ac:dyDescent="0.25">
      <c r="C26" t="str">
        <f>LoRa_Send!C26</f>
        <v>mode</v>
      </c>
      <c r="D26" s="42" t="s">
        <v>149</v>
      </c>
      <c r="E26">
        <f>LoRa_Send!E26</f>
        <v>0</v>
      </c>
      <c r="F26">
        <f>LoRa_Send!F26</f>
        <v>0</v>
      </c>
      <c r="G26" t="str">
        <f>LoRa_Send!G26</f>
        <v>uint8_t</v>
      </c>
      <c r="H26" t="str">
        <f>LoRa_Send!H26</f>
        <v>LoRa_batteryLevel</v>
      </c>
      <c r="I26" s="2" t="str">
        <f>LoRa_Send!I26</f>
        <v>BATTERY_LEVEL_INVALID</v>
      </c>
      <c r="J26">
        <f>LoRa_Send!J26</f>
        <v>0</v>
      </c>
    </row>
    <row r="27" spans="3:10" x14ac:dyDescent="0.25">
      <c r="C27" t="str">
        <f>LoRa_Send!C27</f>
        <v>modulation</v>
      </c>
      <c r="D27" s="42" t="str">
        <f>I41</f>
        <v>modulation[LoRa_ch0_params.dataRate]</v>
      </c>
      <c r="E27">
        <f>LoRa_Send!E27</f>
        <v>0</v>
      </c>
      <c r="F27">
        <f>LoRa_Send!F27</f>
        <v>0</v>
      </c>
      <c r="G27" t="str">
        <f>LoRa_Send!G27</f>
        <v>IsmBand_t</v>
      </c>
      <c r="H27" t="str">
        <f>LoRa_Send!H27</f>
        <v>LoRa_ismBand</v>
      </c>
      <c r="I27" s="2" t="str">
        <f>LoRa_Send!I27</f>
        <v>ISM_EU868</v>
      </c>
      <c r="J27">
        <f>LoRa_Send!J27</f>
        <v>0</v>
      </c>
    </row>
    <row r="28" spans="3:10" x14ac:dyDescent="0.25">
      <c r="C28" t="str">
        <f>LoRa_Send!C28</f>
        <v>frequency</v>
      </c>
      <c r="D28" s="56" t="str">
        <f>I34</f>
        <v>LoRa_ch0_params.frequency</v>
      </c>
      <c r="E28">
        <f>LoRa_Send!E28</f>
        <v>0</v>
      </c>
      <c r="F28">
        <f>LoRa_Send!F28</f>
        <v>0</v>
      </c>
      <c r="G28" t="str">
        <f>LoRa_Send!G28</f>
        <v>uint8_t</v>
      </c>
      <c r="H28" t="str">
        <f>LoRa_Send!H28</f>
        <v>LoRa_currentDataRate</v>
      </c>
      <c r="I28" s="2" t="str">
        <f>LoRa_Send!I28</f>
        <v>DR0</v>
      </c>
      <c r="J28">
        <f>LoRa_Send!J28</f>
        <v>0</v>
      </c>
    </row>
    <row r="29" spans="3:10" x14ac:dyDescent="0.25">
      <c r="C29" t="str">
        <f>LoRa_Send!C29</f>
        <v>payload</v>
      </c>
      <c r="D29" s="42" t="str">
        <f>I12</f>
        <v>bufferHeadIndex</v>
      </c>
      <c r="E29">
        <f>LoRa_Send!E29</f>
        <v>0</v>
      </c>
      <c r="F29">
        <f>LoRa_Send!F29</f>
        <v>0</v>
      </c>
      <c r="G29" t="str">
        <f>LoRa_Send!G29</f>
        <v>uint8_t</v>
      </c>
      <c r="H29" t="str">
        <f>LoRa_Send!H29</f>
        <v>LoRa_minDataRate</v>
      </c>
      <c r="I29" s="2" t="str">
        <f>LoRa_Send!I29</f>
        <v>DR0</v>
      </c>
      <c r="J29">
        <f>LoRa_Send!J29</f>
        <v>0</v>
      </c>
    </row>
    <row r="30" spans="3:10" x14ac:dyDescent="0.25">
      <c r="C30" t="str">
        <f>LoRa_Send!C30</f>
        <v>power</v>
      </c>
      <c r="D30" s="56" t="str">
        <f>I44</f>
        <v>txPower868[LoRa_txPower]</v>
      </c>
      <c r="E30">
        <f>LoRa_Send!E30</f>
        <v>0</v>
      </c>
      <c r="F30">
        <f>LoRa_Send!F30</f>
        <v>0</v>
      </c>
      <c r="G30" t="str">
        <f>LoRa_Send!G30</f>
        <v>uint8_t</v>
      </c>
      <c r="H30" t="str">
        <f>LoRa_Send!H30</f>
        <v>LoRa_maxDataRate</v>
      </c>
      <c r="I30" s="2" t="str">
        <f>LoRa_Send!I30</f>
        <v>DR7</v>
      </c>
      <c r="J30">
        <f>LoRa_Send!J30</f>
        <v>0</v>
      </c>
    </row>
    <row r="31" spans="3:10" x14ac:dyDescent="0.25">
      <c r="C31" t="str">
        <f>LoRa_Send!C31</f>
        <v>SpreadingFactor</v>
      </c>
      <c r="D31" s="56" t="str">
        <f>I42</f>
        <v>spreadingFactor[LoRa_ch0_params.dataRate]</v>
      </c>
      <c r="E31">
        <f>LoRa_Send!E31</f>
        <v>0</v>
      </c>
      <c r="F31">
        <f>LoRa_Send!F31</f>
        <v>0</v>
      </c>
      <c r="G31" t="str">
        <f>LoRa_Send!G31</f>
        <v>uint8_t</v>
      </c>
      <c r="H31" t="str">
        <f>LoRa_Send!H31</f>
        <v>LoRa_nextUsedChannel</v>
      </c>
      <c r="I31" s="2">
        <f>LoRa_Send!I31</f>
        <v>0</v>
      </c>
      <c r="J31">
        <f>LoRa_Send!J31</f>
        <v>0</v>
      </c>
    </row>
    <row r="32" spans="3:10" x14ac:dyDescent="0.25">
      <c r="C32" t="str">
        <f>LoRa_Send!C32</f>
        <v>Bandwidth</v>
      </c>
      <c r="D32" s="56" t="str">
        <f>I43</f>
        <v>bandwidth[LoRa_ch0_params.dataRate]</v>
      </c>
      <c r="E32">
        <f>LoRa_Send!E32</f>
        <v>0</v>
      </c>
      <c r="F32">
        <f>LoRa_Send!F32</f>
        <v>0</v>
      </c>
      <c r="G32">
        <f>LoRa_Send!G32</f>
        <v>0</v>
      </c>
      <c r="H32">
        <f>LoRa_Send!H32</f>
        <v>0</v>
      </c>
      <c r="I32" s="2">
        <f>LoRa_Send!I32</f>
        <v>0</v>
      </c>
      <c r="J32">
        <f>LoRa_Send!J32</f>
        <v>0</v>
      </c>
    </row>
    <row r="33" spans="3:11" x14ac:dyDescent="0.25">
      <c r="C33" t="str">
        <f>LoRa_Send!C33</f>
        <v>SyncWord</v>
      </c>
      <c r="D33" s="56" t="str">
        <f>I38</f>
        <v>LoRa_syncWord</v>
      </c>
      <c r="E33">
        <f>LoRa_Send!E33</f>
        <v>0</v>
      </c>
      <c r="F33">
        <f>LoRa_Send!F33</f>
        <v>0</v>
      </c>
      <c r="G33">
        <f>LoRa_Send!G33</f>
        <v>0</v>
      </c>
      <c r="H33">
        <f>LoRa_Send!H33</f>
        <v>0</v>
      </c>
      <c r="I33" s="2">
        <f>LoRa_Send!I33</f>
        <v>0</v>
      </c>
      <c r="J33">
        <f>LoRa_Send!J33</f>
        <v>0</v>
      </c>
    </row>
    <row r="34" spans="3:11" x14ac:dyDescent="0.25">
      <c r="C34" t="str">
        <f>LoRa_Send!C34</f>
        <v>CRC</v>
      </c>
      <c r="D34" s="56" t="str">
        <f>I45</f>
        <v>ENABLED</v>
      </c>
      <c r="E34">
        <f>LoRa_Send!E34</f>
        <v>0</v>
      </c>
      <c r="F34">
        <f>LoRa_Send!F34</f>
        <v>0</v>
      </c>
      <c r="G34" t="str">
        <f>LoRa_Send!G34</f>
        <v>uint32_t</v>
      </c>
      <c r="H34" t="str">
        <f>LoRa_Send!H34</f>
        <v>frequency</v>
      </c>
      <c r="I34" s="46" t="s">
        <v>88</v>
      </c>
      <c r="J34">
        <f>LoRa_Send!J34</f>
        <v>0</v>
      </c>
    </row>
    <row r="35" spans="3:11" x14ac:dyDescent="0.25">
      <c r="C35" t="str">
        <f>LoRa_Send!C35</f>
        <v>IQInverted</v>
      </c>
      <c r="D35" s="56" t="str">
        <f>I49</f>
        <v>DISABLED</v>
      </c>
      <c r="E35">
        <f>LoRa_Send!E35</f>
        <v>0</v>
      </c>
      <c r="F35">
        <f>LoRa_Send!F35</f>
        <v>0</v>
      </c>
      <c r="G35" t="str">
        <f>LoRa_Send!G35</f>
        <v>uint32_t</v>
      </c>
      <c r="H35" t="str">
        <f>LoRa_Send!H35</f>
        <v>frequencyDeviation</v>
      </c>
      <c r="I35" s="2">
        <f>LoRa_Send!I35</f>
        <v>25000</v>
      </c>
      <c r="J35">
        <f>LoRa_Send!J35</f>
        <v>0</v>
      </c>
    </row>
    <row r="36" spans="3:11" x14ac:dyDescent="0.25">
      <c r="C36" t="str">
        <f>LoRa_Send!C36</f>
        <v>HopPeriod</v>
      </c>
      <c r="D36" s="56" t="str">
        <f>I48</f>
        <v>DISABLED</v>
      </c>
      <c r="E36">
        <f>LoRa_Send!E36</f>
        <v>0</v>
      </c>
      <c r="F36">
        <f>LoRa_Send!F36</f>
        <v>0</v>
      </c>
      <c r="G36" t="str">
        <f>LoRa_Send!G36</f>
        <v>uint32_t</v>
      </c>
      <c r="H36" t="str">
        <f>LoRa_Send!H36</f>
        <v>bitRate</v>
      </c>
      <c r="I36" s="2">
        <f>LoRa_Send!I36</f>
        <v>50000</v>
      </c>
      <c r="J36">
        <f>LoRa_Send!J36</f>
        <v>0</v>
      </c>
    </row>
    <row r="37" spans="3:11" x14ac:dyDescent="0.25">
      <c r="C37" t="str">
        <f>LoRa_Send!C37</f>
        <v>errorCodingRate</v>
      </c>
      <c r="D37" s="56" t="str">
        <f>I50</f>
        <v>CR_4_5</v>
      </c>
      <c r="E37">
        <f>LoRa_Send!E37</f>
        <v>0</v>
      </c>
      <c r="F37">
        <f>LoRa_Send!F37</f>
        <v>0</v>
      </c>
      <c r="G37" t="str">
        <f>LoRa_Send!G37</f>
        <v>uint16_t</v>
      </c>
      <c r="H37" t="str">
        <f>LoRa_Send!H37</f>
        <v>preambleLen</v>
      </c>
      <c r="I37" s="2">
        <f>LoRa_Send!I37</f>
        <v>8</v>
      </c>
      <c r="J37">
        <f>LoRa_Send!J37</f>
        <v>0</v>
      </c>
    </row>
    <row r="38" spans="3:11" x14ac:dyDescent="0.25">
      <c r="C38" t="str">
        <f>LoRa_Send!C38</f>
        <v>implicitHeaderMode</v>
      </c>
      <c r="D38" s="56" t="str">
        <f>I51</f>
        <v>0</v>
      </c>
      <c r="E38">
        <f>LoRa_Send!E38</f>
        <v>0</v>
      </c>
      <c r="F38">
        <f>LoRa_Send!F38</f>
        <v>0</v>
      </c>
      <c r="G38" t="str">
        <f>LoRa_Send!G38</f>
        <v>uint8_t</v>
      </c>
      <c r="H38" t="str">
        <f>LoRa_Send!H38</f>
        <v>syncWordLoRa</v>
      </c>
      <c r="I38" s="46" t="s">
        <v>69</v>
      </c>
      <c r="J38">
        <f>LoRa_Send!J38</f>
        <v>0</v>
      </c>
    </row>
    <row r="39" spans="3:11" x14ac:dyDescent="0.25">
      <c r="C39" t="str">
        <f>LoRa_Send!C39</f>
        <v>preambleLen</v>
      </c>
      <c r="D39" s="56">
        <f>I37</f>
        <v>8</v>
      </c>
      <c r="E39">
        <f>LoRa_Send!E39</f>
        <v>0</v>
      </c>
      <c r="F39">
        <f>LoRa_Send!F39</f>
        <v>0</v>
      </c>
      <c r="G39" t="str">
        <f>LoRa_Send!G39</f>
        <v>uint8_t</v>
      </c>
      <c r="H39" t="str">
        <f>LoRa_Send!H39</f>
        <v>syncWord</v>
      </c>
      <c r="I39" s="2" t="str">
        <f>LoRa_Send!I39</f>
        <v>0xc1 0x94 0xc1</v>
      </c>
      <c r="J39">
        <f>LoRa_Send!J39</f>
        <v>0</v>
      </c>
    </row>
    <row r="40" spans="3:11" x14ac:dyDescent="0.25">
      <c r="C40" t="str">
        <f>LoRa_Send!C40</f>
        <v>symbolTimeout</v>
      </c>
      <c r="D40" s="56">
        <v>4</v>
      </c>
      <c r="E40">
        <f>LoRa_Send!E40</f>
        <v>0</v>
      </c>
      <c r="F40">
        <f>LoRa_Send!F40</f>
        <v>0</v>
      </c>
      <c r="G40" t="str">
        <f>LoRa_Send!G40</f>
        <v>uint8_t</v>
      </c>
      <c r="H40" t="str">
        <f>LoRa_Send!H40</f>
        <v>syncWordLen</v>
      </c>
      <c r="I40" s="2">
        <f>LoRa_Send!I40</f>
        <v>3</v>
      </c>
      <c r="J40">
        <f>LoRa_Send!J40</f>
        <v>0</v>
      </c>
    </row>
    <row r="41" spans="3:11" x14ac:dyDescent="0.25">
      <c r="C41" t="str">
        <f>LoRa_Send!C41</f>
        <v>FSKfreqDeviation</v>
      </c>
      <c r="D41" s="56">
        <f>I35</f>
        <v>25000</v>
      </c>
      <c r="E41">
        <f>LoRa_Send!E41</f>
        <v>0</v>
      </c>
      <c r="F41">
        <f>LoRa_Send!F41</f>
        <v>0</v>
      </c>
      <c r="G41" t="str">
        <f>LoRa_Send!G41</f>
        <v>RadioModulation_t</v>
      </c>
      <c r="H41" t="str">
        <f>LoRa_Send!H41</f>
        <v>modulation</v>
      </c>
      <c r="I41" s="46" t="s">
        <v>198</v>
      </c>
      <c r="J41">
        <f>LoRa_Send!J41</f>
        <v>0</v>
      </c>
    </row>
    <row r="42" spans="3:11" x14ac:dyDescent="0.25">
      <c r="C42" t="str">
        <f>LoRa_Send!C42</f>
        <v>FSKBitRate</v>
      </c>
      <c r="D42" s="56">
        <f>I36</f>
        <v>50000</v>
      </c>
      <c r="E42">
        <f>LoRa_Send!E42</f>
        <v>0</v>
      </c>
      <c r="F42">
        <f>LoRa_Send!F42</f>
        <v>0</v>
      </c>
      <c r="G42" t="str">
        <f>LoRa_Send!G42</f>
        <v>RadioDataRate_t</v>
      </c>
      <c r="H42" t="str">
        <f>LoRa_Send!H42</f>
        <v>dataRate</v>
      </c>
      <c r="I42" s="46" t="s">
        <v>210</v>
      </c>
      <c r="J42">
        <f>LoRa_Send!J42</f>
        <v>0</v>
      </c>
    </row>
    <row r="43" spans="3:11" x14ac:dyDescent="0.25">
      <c r="C43" t="str">
        <f>LoRa_Send!C43</f>
        <v>FSK_PREAMBLE</v>
      </c>
      <c r="D43" s="56">
        <f>I37</f>
        <v>8</v>
      </c>
      <c r="E43">
        <f>LoRa_Send!E43</f>
        <v>0</v>
      </c>
      <c r="F43">
        <f>LoRa_Send!F43</f>
        <v>0</v>
      </c>
      <c r="G43" t="str">
        <f>LoRa_Send!G43</f>
        <v>RadioLoRaBandWidth_t</v>
      </c>
      <c r="H43" t="str">
        <f>LoRa_Send!H43</f>
        <v>bandWidth</v>
      </c>
      <c r="I43" s="46" t="s">
        <v>211</v>
      </c>
      <c r="J43">
        <f>LoRa_Send!J43</f>
        <v>0</v>
      </c>
    </row>
    <row r="44" spans="3:11" x14ac:dyDescent="0.25">
      <c r="C44" t="str">
        <f>LoRa_Send!C44</f>
        <v>fskDataShaping</v>
      </c>
      <c r="D44" s="56" t="str">
        <f>I63</f>
        <v>FSK_SHAPING_GAUSS_BT_0_5</v>
      </c>
      <c r="E44">
        <f>LoRa_Send!E44</f>
        <v>0</v>
      </c>
      <c r="F44">
        <f>LoRa_Send!F44</f>
        <v>0</v>
      </c>
      <c r="G44" t="str">
        <f>LoRa_Send!G44</f>
        <v>int8_t</v>
      </c>
      <c r="H44" t="str">
        <f>LoRa_Send!H44</f>
        <v>outputPower</v>
      </c>
      <c r="I44" s="39" t="s">
        <v>97</v>
      </c>
      <c r="J44">
        <f>LoRa_Send!J44</f>
        <v>0</v>
      </c>
    </row>
    <row r="45" spans="3:11" x14ac:dyDescent="0.25">
      <c r="C45">
        <f>LoRa_Send!C45</f>
        <v>0</v>
      </c>
      <c r="D45" s="2">
        <f>LoRa_Send!D45</f>
        <v>0</v>
      </c>
      <c r="E45">
        <f>LoRa_Send!E45</f>
        <v>0</v>
      </c>
      <c r="F45">
        <f>LoRa_Send!F45</f>
        <v>0</v>
      </c>
      <c r="G45" t="str">
        <f>LoRa_Send!G45</f>
        <v>uint8_t</v>
      </c>
      <c r="H45" t="str">
        <f>LoRa_Send!H45</f>
        <v>crcOn</v>
      </c>
      <c r="I45" s="39" t="s">
        <v>39</v>
      </c>
      <c r="J45">
        <f>LoRa_Send!J45</f>
        <v>0</v>
      </c>
    </row>
    <row r="46" spans="3:11" x14ac:dyDescent="0.25">
      <c r="C46">
        <f>LoRa_Send!C46</f>
        <v>0</v>
      </c>
      <c r="D46" s="2">
        <f>LoRa_Send!D46</f>
        <v>0</v>
      </c>
      <c r="E46">
        <f>LoRa_Send!E46</f>
        <v>0</v>
      </c>
      <c r="F46">
        <f>LoRa_Send!F46</f>
        <v>0</v>
      </c>
      <c r="G46" t="str">
        <f>LoRa_Send!G46</f>
        <v>uint8_t</v>
      </c>
      <c r="H46" t="str">
        <f>LoRa_Send!H46</f>
        <v>paBoost</v>
      </c>
      <c r="I46" s="2" t="str">
        <f>LoRa_Send!I46</f>
        <v>0</v>
      </c>
      <c r="J46">
        <f>LoRa_Send!J46</f>
        <v>0</v>
      </c>
    </row>
    <row r="47" spans="3:11" x14ac:dyDescent="0.25">
      <c r="C47">
        <f>LoRa_Send!C47</f>
        <v>0</v>
      </c>
      <c r="D47" s="2">
        <f>LoRa_Send!D47</f>
        <v>0</v>
      </c>
      <c r="E47">
        <f>LoRa_Send!E47</f>
        <v>0</v>
      </c>
      <c r="F47">
        <f>LoRa_Send!F47</f>
        <v>0</v>
      </c>
      <c r="G47" t="str">
        <f>LoRa_Send!G47</f>
        <v>uint8_t</v>
      </c>
      <c r="H47" t="str">
        <f>LoRa_Send!H47</f>
        <v>flags</v>
      </c>
      <c r="I47" s="48" t="s">
        <v>231</v>
      </c>
      <c r="J47" s="69" t="s">
        <v>152</v>
      </c>
      <c r="K47" s="70" t="s">
        <v>152</v>
      </c>
    </row>
    <row r="48" spans="3:11" x14ac:dyDescent="0.25">
      <c r="C48">
        <f>LoRa_Send!C48</f>
        <v>0</v>
      </c>
      <c r="D48" s="2">
        <f>LoRa_Send!D48</f>
        <v>0</v>
      </c>
      <c r="E48">
        <f>LoRa_Send!E48</f>
        <v>0</v>
      </c>
      <c r="F48">
        <f>LoRa_Send!F48</f>
        <v>0</v>
      </c>
      <c r="G48" t="str">
        <f>LoRa_Send!G48</f>
        <v>uint16_t</v>
      </c>
      <c r="H48" t="str">
        <f>LoRa_Send!H48</f>
        <v>frequencyHopPeriod</v>
      </c>
      <c r="I48" s="46" t="s">
        <v>93</v>
      </c>
      <c r="K48" s="70" t="s">
        <v>154</v>
      </c>
    </row>
    <row r="49" spans="3:11" x14ac:dyDescent="0.25">
      <c r="C49">
        <f>LoRa_Send!C49</f>
        <v>0</v>
      </c>
      <c r="D49" s="2">
        <f>LoRa_Send!D49</f>
        <v>0</v>
      </c>
      <c r="E49">
        <f>LoRa_Send!E49</f>
        <v>0</v>
      </c>
      <c r="F49">
        <f>LoRa_Send!F49</f>
        <v>0</v>
      </c>
      <c r="G49" t="str">
        <f>LoRa_Send!G49</f>
        <v>uint8_t</v>
      </c>
      <c r="H49" t="str">
        <f>LoRa_Send!H49</f>
        <v>iqInverted</v>
      </c>
      <c r="I49" s="39" t="s">
        <v>93</v>
      </c>
      <c r="K49" s="70" t="s">
        <v>228</v>
      </c>
    </row>
    <row r="50" spans="3:11" x14ac:dyDescent="0.25">
      <c r="C50">
        <f>LoRa_Send!C50</f>
        <v>0</v>
      </c>
      <c r="D50" s="2">
        <f>LoRa_Send!D50</f>
        <v>0</v>
      </c>
      <c r="E50">
        <f>LoRa_Send!E50</f>
        <v>0</v>
      </c>
      <c r="F50">
        <f>LoRa_Send!F50</f>
        <v>0</v>
      </c>
      <c r="G50" t="str">
        <f>LoRa_Send!G50</f>
        <v>RadioErrorCodingRate_t</v>
      </c>
      <c r="H50" t="str">
        <f>LoRa_Send!H50</f>
        <v>errorCodingRate</v>
      </c>
      <c r="I50" s="2" t="str">
        <f>LoRa_Send!I50</f>
        <v>CR_4_5</v>
      </c>
      <c r="J50" s="69"/>
    </row>
    <row r="51" spans="3:11" x14ac:dyDescent="0.25">
      <c r="C51">
        <f>LoRa_Send!C51</f>
        <v>0</v>
      </c>
      <c r="D51" s="2">
        <f>LoRa_Send!D51</f>
        <v>0</v>
      </c>
      <c r="E51">
        <f>LoRa_Send!E51</f>
        <v>0</v>
      </c>
      <c r="F51">
        <f>LoRa_Send!F51</f>
        <v>0</v>
      </c>
      <c r="G51" t="str">
        <f>LoRa_Send!G51</f>
        <v>uint8_t</v>
      </c>
      <c r="H51" t="str">
        <f>LoRa_Send!H51</f>
        <v>implicitHeaderMode</v>
      </c>
      <c r="I51" s="2" t="str">
        <f>LoRa_Send!I51</f>
        <v>0</v>
      </c>
      <c r="J51" s="69"/>
    </row>
    <row r="52" spans="3:11" x14ac:dyDescent="0.25">
      <c r="C52">
        <f>LoRa_Send!C52</f>
        <v>0</v>
      </c>
      <c r="D52" s="2">
        <f>LoRa_Send!D52</f>
        <v>0</v>
      </c>
      <c r="E52">
        <f>LoRa_Send!E52</f>
        <v>0</v>
      </c>
      <c r="F52">
        <f>LoRa_Send!F52</f>
        <v>0</v>
      </c>
      <c r="G52">
        <f>LoRa_Send!G52</f>
        <v>0</v>
      </c>
      <c r="H52">
        <f>LoRa_Send!H52</f>
        <v>0</v>
      </c>
      <c r="I52" s="2">
        <f>LoRa_Send!I52</f>
        <v>0</v>
      </c>
      <c r="J52">
        <f>LoRa_Send!J52</f>
        <v>0</v>
      </c>
    </row>
    <row r="53" spans="3:11" x14ac:dyDescent="0.25">
      <c r="C53">
        <f>LoRa_Send!C53</f>
        <v>0</v>
      </c>
      <c r="D53" s="2">
        <f>LoRa_Send!D53</f>
        <v>0</v>
      </c>
      <c r="E53">
        <f>LoRa_Send!E53</f>
        <v>0</v>
      </c>
      <c r="F53">
        <f>LoRa_Send!F53</f>
        <v>0</v>
      </c>
      <c r="G53" t="str">
        <f>LoRa_Send!G53</f>
        <v>uint8_t</v>
      </c>
      <c r="H53" t="str">
        <f>LoRa_Send!H53</f>
        <v>dataBufferLen</v>
      </c>
      <c r="I53" s="2" t="str">
        <f>LoRa_Send!I53</f>
        <v>0</v>
      </c>
      <c r="J53">
        <f>LoRa_Send!J53</f>
        <v>0</v>
      </c>
    </row>
    <row r="54" spans="3:11" x14ac:dyDescent="0.25">
      <c r="C54">
        <f>LoRa_Send!C54</f>
        <v>0</v>
      </c>
      <c r="D54" s="2">
        <f>LoRa_Send!D54</f>
        <v>0</v>
      </c>
      <c r="E54">
        <f>LoRa_Send!E54</f>
        <v>0</v>
      </c>
      <c r="F54">
        <f>LoRa_Send!F54</f>
        <v>0</v>
      </c>
      <c r="G54" t="str">
        <f>LoRa_Send!G54</f>
        <v>uint8_t *</v>
      </c>
      <c r="H54" t="str">
        <f>LoRa_Send!H54</f>
        <v>dataBuffer</v>
      </c>
      <c r="I54" s="2" t="str">
        <f>LoRa_Send!I54</f>
        <v>LoRa_radioBuffer</v>
      </c>
      <c r="J54">
        <f>LoRa_Send!J54</f>
        <v>0</v>
      </c>
    </row>
    <row r="55" spans="3:11" x14ac:dyDescent="0.25">
      <c r="C55">
        <f>LoRa_Send!C55</f>
        <v>0</v>
      </c>
      <c r="D55" s="2">
        <f>LoRa_Send!D55</f>
        <v>0</v>
      </c>
      <c r="E55">
        <f>LoRa_Send!E55</f>
        <v>0</v>
      </c>
      <c r="F55">
        <f>LoRa_Send!F55</f>
        <v>0</v>
      </c>
      <c r="G55" t="str">
        <f>LoRa_Send!G55</f>
        <v>uint8_t</v>
      </c>
      <c r="H55" t="str">
        <f>LoRa_Send!H55</f>
        <v>timeOnAirTimerId</v>
      </c>
      <c r="I55" s="48" t="s">
        <v>5</v>
      </c>
      <c r="J55">
        <f>LoRa_Send!J55</f>
        <v>0</v>
      </c>
    </row>
    <row r="56" spans="3:11" x14ac:dyDescent="0.25">
      <c r="C56">
        <f>LoRa_Send!C56</f>
        <v>0</v>
      </c>
      <c r="D56" s="2">
        <f>LoRa_Send!D56</f>
        <v>0</v>
      </c>
      <c r="E56">
        <f>LoRa_Send!E56</f>
        <v>0</v>
      </c>
      <c r="F56">
        <f>LoRa_Send!F56</f>
        <v>0</v>
      </c>
      <c r="G56" t="str">
        <f>LoRa_Send!G56</f>
        <v>uint8_t</v>
      </c>
      <c r="H56" t="str">
        <f>LoRa_Send!H56</f>
        <v>fskRxWindowTimerId</v>
      </c>
      <c r="I56" s="2" t="str">
        <f>LoRa_Send!I56</f>
        <v>0</v>
      </c>
      <c r="J56" t="str">
        <f>LoRa_Send!J56</f>
        <v>RADIO_RxFSKTimeout</v>
      </c>
    </row>
    <row r="57" spans="3:11" x14ac:dyDescent="0.25">
      <c r="C57">
        <f>LoRa_Send!C57</f>
        <v>0</v>
      </c>
      <c r="D57" s="2">
        <f>LoRa_Send!D57</f>
        <v>0</v>
      </c>
      <c r="E57">
        <f>LoRa_Send!E57</f>
        <v>0</v>
      </c>
      <c r="F57">
        <f>LoRa_Send!F57</f>
        <v>0</v>
      </c>
      <c r="G57" t="str">
        <f>LoRa_Send!G57</f>
        <v>uint8_t</v>
      </c>
      <c r="H57" t="str">
        <f>LoRa_Send!H57</f>
        <v>watchdogTimerId</v>
      </c>
      <c r="I57" s="42" t="str">
        <f>I58</f>
        <v>WATCHDOG_DEFAULT_TIME</v>
      </c>
      <c r="J57" t="str">
        <f>LoRa_Send!J57</f>
        <v>RADIO_WatchdogTimeout</v>
      </c>
    </row>
    <row r="58" spans="3:11" x14ac:dyDescent="0.25">
      <c r="C58">
        <f>LoRa_Send!C58</f>
        <v>0</v>
      </c>
      <c r="D58" s="2">
        <f>LoRa_Send!D58</f>
        <v>0</v>
      </c>
      <c r="E58">
        <f>LoRa_Send!E58</f>
        <v>0</v>
      </c>
      <c r="F58">
        <f>LoRa_Send!F58</f>
        <v>0</v>
      </c>
      <c r="G58" t="str">
        <f>LoRa_Send!G58</f>
        <v>uint32_t</v>
      </c>
      <c r="H58" t="str">
        <f>LoRa_Send!H58</f>
        <v>watchdogTimerTimeout</v>
      </c>
      <c r="I58" s="2" t="str">
        <f>LoRa_Send!I58</f>
        <v>WATCHDOG_DEFAULT_TIME</v>
      </c>
      <c r="J58">
        <f>LoRa_Send!J58</f>
        <v>0</v>
      </c>
    </row>
    <row r="59" spans="3:11" x14ac:dyDescent="0.25">
      <c r="C59">
        <f>LoRa_Send!C59</f>
        <v>0</v>
      </c>
      <c r="D59" s="2">
        <f>LoRa_Send!D59</f>
        <v>0</v>
      </c>
      <c r="E59">
        <f>LoRa_Send!E59</f>
        <v>0</v>
      </c>
      <c r="F59">
        <f>LoRa_Send!F59</f>
        <v>0</v>
      </c>
      <c r="G59" t="str">
        <f>LoRa_Send!G59</f>
        <v>uint8_t</v>
      </c>
      <c r="H59" t="str">
        <f>LoRa_Send!H59</f>
        <v>initialized</v>
      </c>
      <c r="I59" s="2">
        <f>LoRa_Send!I59</f>
        <v>1</v>
      </c>
      <c r="J59">
        <f>LoRa_Send!J59</f>
        <v>0</v>
      </c>
    </row>
    <row r="60" spans="3:11" x14ac:dyDescent="0.25">
      <c r="C60">
        <f>LoRa_Send!C60</f>
        <v>0</v>
      </c>
      <c r="D60" s="2">
        <f>LoRa_Send!D60</f>
        <v>0</v>
      </c>
      <c r="E60">
        <f>LoRa_Send!E60</f>
        <v>0</v>
      </c>
      <c r="F60">
        <f>LoRa_Send!F60</f>
        <v>0</v>
      </c>
      <c r="G60" t="str">
        <f>LoRa_Send!G60</f>
        <v>uint32_t</v>
      </c>
      <c r="H60" t="str">
        <f>LoRa_Send!H60</f>
        <v>fhssNextFrequency</v>
      </c>
      <c r="I60" s="2" t="str">
        <f>LoRa_Send!I60</f>
        <v>NULL</v>
      </c>
      <c r="J60">
        <f>LoRa_Send!J60</f>
        <v>0</v>
      </c>
    </row>
    <row r="61" spans="3:11" x14ac:dyDescent="0.25">
      <c r="C61">
        <f>LoRa_Send!C61</f>
        <v>0</v>
      </c>
      <c r="D61" s="2">
        <f>LoRa_Send!D61</f>
        <v>0</v>
      </c>
      <c r="E61">
        <f>LoRa_Send!E61</f>
        <v>0</v>
      </c>
      <c r="F61">
        <f>LoRa_Send!F61</f>
        <v>0</v>
      </c>
      <c r="G61" t="str">
        <f>LoRa_Send!G61</f>
        <v>uint8_t</v>
      </c>
      <c r="H61" t="str">
        <f>LoRa_Send!H61</f>
        <v>regVersion</v>
      </c>
      <c r="I61" s="2" t="str">
        <f>LoRa_Send!I61</f>
        <v>REG_VERSION</v>
      </c>
      <c r="J61">
        <f>LoRa_Send!J61</f>
        <v>0</v>
      </c>
    </row>
    <row r="62" spans="3:11" x14ac:dyDescent="0.25">
      <c r="C62">
        <f>LoRa_Send!C62</f>
        <v>0</v>
      </c>
      <c r="D62" s="2">
        <f>LoRa_Send!D62</f>
        <v>0</v>
      </c>
      <c r="E62">
        <f>LoRa_Send!E62</f>
        <v>0</v>
      </c>
      <c r="F62">
        <f>LoRa_Send!F62</f>
        <v>0</v>
      </c>
      <c r="G62" t="str">
        <f>LoRa_Send!G62</f>
        <v>int8_t</v>
      </c>
      <c r="H62" t="str">
        <f>LoRa_Send!H62</f>
        <v>packetSNR</v>
      </c>
      <c r="I62" s="2">
        <f>LoRa_Send!I62</f>
        <v>-128</v>
      </c>
      <c r="J62">
        <f>LoRa_Send!J62</f>
        <v>0</v>
      </c>
    </row>
    <row r="63" spans="3:11" x14ac:dyDescent="0.25">
      <c r="C63">
        <f>LoRa_Send!C63</f>
        <v>0</v>
      </c>
      <c r="D63" s="2">
        <f>LoRa_Send!D63</f>
        <v>0</v>
      </c>
      <c r="E63">
        <f>LoRa_Send!E63</f>
        <v>0</v>
      </c>
      <c r="F63">
        <f>LoRa_Send!F63</f>
        <v>0</v>
      </c>
      <c r="G63" t="str">
        <f>LoRa_Send!G63</f>
        <v>RadioFSKShaping_t</v>
      </c>
      <c r="H63" t="str">
        <f>LoRa_Send!H63</f>
        <v>fskDataShaping</v>
      </c>
      <c r="I63" s="2" t="str">
        <f>LoRa_Send!I63</f>
        <v>FSK_SHAPING_GAUSS_BT_0_5</v>
      </c>
      <c r="J63">
        <f>LoRa_Send!J63</f>
        <v>0</v>
      </c>
    </row>
    <row r="64" spans="3:11" x14ac:dyDescent="0.25">
      <c r="C64">
        <f>LoRa_Send!C64</f>
        <v>0</v>
      </c>
      <c r="D64" s="2">
        <f>LoRa_Send!D64</f>
        <v>0</v>
      </c>
      <c r="E64">
        <f>LoRa_Send!E64</f>
        <v>0</v>
      </c>
      <c r="F64">
        <f>LoRa_Send!F64</f>
        <v>0</v>
      </c>
      <c r="G64" t="str">
        <f>LoRa_Send!G64</f>
        <v>RadioFSKBandWidth_t</v>
      </c>
      <c r="H64" t="str">
        <f>LoRa_Send!H64</f>
        <v>rxBw</v>
      </c>
      <c r="I64" s="2" t="str">
        <f>LoRa_Send!I64</f>
        <v>FSKBW_50_0KHZ</v>
      </c>
      <c r="J64">
        <f>LoRa_Send!J64</f>
        <v>0</v>
      </c>
    </row>
    <row r="65" spans="3:10" x14ac:dyDescent="0.25">
      <c r="C65">
        <f>LoRa_Send!C65</f>
        <v>0</v>
      </c>
      <c r="D65" s="2">
        <f>LoRa_Send!D65</f>
        <v>0</v>
      </c>
      <c r="E65">
        <f>LoRa_Send!E65</f>
        <v>0</v>
      </c>
      <c r="F65">
        <f>LoRa_Send!F65</f>
        <v>0</v>
      </c>
      <c r="G65" t="str">
        <f>LoRa_Send!G65</f>
        <v>RadioFSKBandWidth_t</v>
      </c>
      <c r="H65" t="str">
        <f>LoRa_Send!H65</f>
        <v>afcBw</v>
      </c>
      <c r="I65" s="2" t="str">
        <f>LoRa_Send!I65</f>
        <v>FSKBW_83_3KHZ</v>
      </c>
      <c r="J65">
        <f>LoRa_Send!J65</f>
        <v>0</v>
      </c>
    </row>
    <row r="66" spans="3:10" x14ac:dyDescent="0.25">
      <c r="C66">
        <f>LoRa_Send!C66</f>
        <v>0</v>
      </c>
      <c r="D66" s="2">
        <f>LoRa_Send!D66</f>
        <v>0</v>
      </c>
      <c r="E66">
        <f>LoRa_Send!E66</f>
        <v>0</v>
      </c>
      <c r="F66">
        <f>LoRa_Send!F66</f>
        <v>0</v>
      </c>
      <c r="G66">
        <f>LoRa_Send!G66</f>
        <v>0</v>
      </c>
      <c r="H66">
        <f>LoRa_Send!H66</f>
        <v>0</v>
      </c>
      <c r="I66" s="2">
        <f>LoRa_Send!I66</f>
        <v>0</v>
      </c>
      <c r="J66">
        <f>LoRa_Send!J66</f>
        <v>0</v>
      </c>
    </row>
    <row r="67" spans="3:10" x14ac:dyDescent="0.25">
      <c r="C67">
        <f>LoRa_Send!C67</f>
        <v>0</v>
      </c>
      <c r="D67" s="2">
        <f>LoRa_Send!D67</f>
        <v>0</v>
      </c>
      <c r="E67">
        <f>LoRa_Send!E67</f>
        <v>0</v>
      </c>
      <c r="F67">
        <f>LoRa_Send!F67</f>
        <v>0</v>
      </c>
      <c r="G67">
        <f>LoRa_Send!G67</f>
        <v>0</v>
      </c>
      <c r="H67">
        <f>LoRa_Send!H67</f>
        <v>0</v>
      </c>
      <c r="I67" s="2">
        <f>LoRa_Send!I67</f>
        <v>0</v>
      </c>
      <c r="J67">
        <f>LoRa_Send!J67</f>
        <v>0</v>
      </c>
    </row>
    <row r="68" spans="3:10" x14ac:dyDescent="0.25">
      <c r="C68">
        <f>LoRa_Send!C68</f>
        <v>0</v>
      </c>
      <c r="D68" s="2">
        <f>LoRa_Send!D68</f>
        <v>0</v>
      </c>
      <c r="E68">
        <f>LoRa_Send!E68</f>
        <v>0</v>
      </c>
      <c r="F68">
        <f>LoRa_Send!F68</f>
        <v>0</v>
      </c>
      <c r="G68">
        <f>LoRa_Send!G68</f>
        <v>0</v>
      </c>
      <c r="H68">
        <f>LoRa_Send!H68</f>
        <v>0</v>
      </c>
      <c r="I68" s="2">
        <f>LoRa_Send!I68</f>
        <v>0</v>
      </c>
      <c r="J68">
        <f>LoRa_Send!J68</f>
        <v>0</v>
      </c>
    </row>
    <row r="69" spans="3:10" x14ac:dyDescent="0.25">
      <c r="C69">
        <f>LoRa_Send!C69</f>
        <v>0</v>
      </c>
      <c r="D69" s="2">
        <f>LoRa_Send!D69</f>
        <v>0</v>
      </c>
      <c r="E69">
        <f>LoRa_Send!E69</f>
        <v>0</v>
      </c>
      <c r="F69">
        <f>LoRa_Send!F69</f>
        <v>0</v>
      </c>
      <c r="G69" t="str">
        <f>LoRa_Send!G69</f>
        <v>ChannelParams_t</v>
      </c>
      <c r="H69" t="str">
        <f>LoRa_Send!H69</f>
        <v>Channels</v>
      </c>
      <c r="I69" s="2" t="str">
        <f>LoRa_Send!I69</f>
        <v>DefaultChannels868</v>
      </c>
      <c r="J69">
        <f>LoRa_Send!J69</f>
        <v>0</v>
      </c>
    </row>
    <row r="70" spans="3:10" x14ac:dyDescent="0.25">
      <c r="C70">
        <f>LoRa_Send!C70</f>
        <v>0</v>
      </c>
      <c r="D70" s="2">
        <f>LoRa_Send!D70</f>
        <v>0</v>
      </c>
      <c r="E70">
        <f>LoRa_Send!E70</f>
        <v>0</v>
      </c>
      <c r="F70">
        <f>LoRa_Send!F70</f>
        <v>0</v>
      </c>
      <c r="G70" t="str">
        <f>LoRa_Send!G70</f>
        <v>uint8_t</v>
      </c>
      <c r="H70" t="str">
        <f>LoRa_Send!H70</f>
        <v>maxPayloadSize[]</v>
      </c>
      <c r="I70" s="2" t="str">
        <f>LoRa_Send!I70</f>
        <v>MAX_EU_SINGLE_BAND_CHANNELS</v>
      </c>
      <c r="J70">
        <f>LoRa_Send!J70</f>
        <v>0</v>
      </c>
    </row>
    <row r="71" spans="3:10" x14ac:dyDescent="0.25">
      <c r="C71">
        <f>LoRa_Send!C71</f>
        <v>0</v>
      </c>
      <c r="D71" s="2">
        <f>LoRa_Send!D71</f>
        <v>0</v>
      </c>
      <c r="E71">
        <f>LoRa_Send!E71</f>
        <v>0</v>
      </c>
      <c r="F71">
        <f>LoRa_Send!F71</f>
        <v>0</v>
      </c>
      <c r="G71" t="str">
        <f>LoRa_Send!G71</f>
        <v>uint8_t</v>
      </c>
      <c r="H71" t="str">
        <f>LoRa_Send!H71</f>
        <v>modulation[]</v>
      </c>
      <c r="I71" s="2">
        <f>LoRa_Send!I71</f>
        <v>0</v>
      </c>
      <c r="J71">
        <f>LoRa_Send!J71</f>
        <v>0</v>
      </c>
    </row>
    <row r="72" spans="3:10" x14ac:dyDescent="0.25">
      <c r="C72">
        <f>LoRa_Send!C72</f>
        <v>0</v>
      </c>
      <c r="D72" s="2">
        <f>LoRa_Send!D72</f>
        <v>0</v>
      </c>
      <c r="E72">
        <f>LoRa_Send!E72</f>
        <v>0</v>
      </c>
      <c r="F72">
        <f>LoRa_Send!F72</f>
        <v>0</v>
      </c>
      <c r="G72" t="str">
        <f>LoRa_Send!G72</f>
        <v>uint8_t</v>
      </c>
      <c r="H72" t="str">
        <f>LoRa_Send!H72</f>
        <v>spreadingFactor[]</v>
      </c>
      <c r="I72" s="2">
        <f>LoRa_Send!I72</f>
        <v>0</v>
      </c>
      <c r="J72">
        <f>LoRa_Send!J72</f>
        <v>0</v>
      </c>
    </row>
    <row r="73" spans="3:10" x14ac:dyDescent="0.25">
      <c r="C73">
        <f>LoRa_Send!C73</f>
        <v>0</v>
      </c>
      <c r="D73" s="2">
        <f>LoRa_Send!D73</f>
        <v>0</v>
      </c>
      <c r="E73">
        <f>LoRa_Send!E73</f>
        <v>0</v>
      </c>
      <c r="F73">
        <f>LoRa_Send!F73</f>
        <v>0</v>
      </c>
      <c r="G73" t="str">
        <f>LoRa_Send!G73</f>
        <v>uint8_t</v>
      </c>
      <c r="H73" t="str">
        <f>LoRa_Send!H73</f>
        <v>bandwidth[]</v>
      </c>
      <c r="I73" s="2">
        <f>LoRa_Send!I73</f>
        <v>0</v>
      </c>
      <c r="J73">
        <f>LoRa_Send!J73</f>
        <v>0</v>
      </c>
    </row>
    <row r="74" spans="3:10" x14ac:dyDescent="0.25">
      <c r="C74">
        <f>LoRa_Send!C74</f>
        <v>0</v>
      </c>
      <c r="D74" s="2">
        <f>LoRa_Send!D74</f>
        <v>0</v>
      </c>
      <c r="E74">
        <f>LoRa_Send!E74</f>
        <v>0</v>
      </c>
      <c r="F74">
        <f>LoRa_Send!F74</f>
        <v>0</v>
      </c>
      <c r="G74" t="str">
        <f>LoRa_Send!G74</f>
        <v>uint8_t</v>
      </c>
      <c r="H74" t="str">
        <f>LoRa_Send!H74</f>
        <v>txPower868[]</v>
      </c>
      <c r="I74" s="2">
        <f>LoRa_Send!I74</f>
        <v>0</v>
      </c>
      <c r="J74">
        <f>LoRa_Send!J74</f>
        <v>0</v>
      </c>
    </row>
    <row r="75" spans="3:10" x14ac:dyDescent="0.25">
      <c r="C75">
        <f>LoRa_Send!C75</f>
        <v>0</v>
      </c>
      <c r="D75" s="2">
        <f>LoRa_Send!D75</f>
        <v>0</v>
      </c>
      <c r="E75">
        <f>LoRa_Send!E75</f>
        <v>0</v>
      </c>
      <c r="F75">
        <f>LoRa_Send!F75</f>
        <v>0</v>
      </c>
      <c r="G75" t="str">
        <f>LoRa_Send!G75</f>
        <v>uint8_t</v>
      </c>
      <c r="H75" t="str">
        <f>LoRa_Send!H75</f>
        <v>LoRa_radioBuffer[]</v>
      </c>
      <c r="I75" s="2" t="str">
        <f>LoRa_Send!I75</f>
        <v>MAXIMUM_BUFFER_LENGTH</v>
      </c>
      <c r="J75">
        <f>LoRa_Send!J75</f>
        <v>0</v>
      </c>
    </row>
    <row r="76" spans="3:10" x14ac:dyDescent="0.25">
      <c r="C76">
        <f>LoRa_Send!C76</f>
        <v>0</v>
      </c>
      <c r="D76" s="2">
        <f>LoRa_Send!D76</f>
        <v>0</v>
      </c>
      <c r="E76">
        <f>LoRa_Send!E76</f>
        <v>0</v>
      </c>
      <c r="F76">
        <f>LoRa_Send!F76</f>
        <v>0</v>
      </c>
      <c r="G76">
        <f>LoRa_Send!G76</f>
        <v>0</v>
      </c>
      <c r="H76">
        <f>LoRa_Send!H76</f>
        <v>0</v>
      </c>
      <c r="I76" s="2">
        <f>LoRa_Send!I76</f>
        <v>0</v>
      </c>
      <c r="J76">
        <f>LoRa_Send!J76</f>
        <v>0</v>
      </c>
    </row>
    <row r="77" spans="3:10" x14ac:dyDescent="0.25">
      <c r="C77">
        <f>LoRa_Send!C77</f>
        <v>0</v>
      </c>
      <c r="D77" s="2">
        <f>LoRa_Send!D77</f>
        <v>0</v>
      </c>
      <c r="E77">
        <f>LoRa_Send!E77</f>
        <v>0</v>
      </c>
      <c r="F77">
        <f>LoRa_Send!F77</f>
        <v>0</v>
      </c>
      <c r="G77">
        <f>LoRa_Send!G77</f>
        <v>0</v>
      </c>
      <c r="H77">
        <f>LoRa_Send!H77</f>
        <v>0</v>
      </c>
      <c r="I77" s="2">
        <f>LoRa_Send!I77</f>
        <v>0</v>
      </c>
      <c r="J77">
        <f>LoRa_Send!J77</f>
        <v>0</v>
      </c>
    </row>
  </sheetData>
  <hyperlinks>
    <hyperlink ref="D20" location="LoRa_TxDone!C1" display="LoRa_TxDone" xr:uid="{4BF0C074-5A72-45DC-BA45-E256A9BDDB3C}"/>
    <hyperlink ref="E21" location="LoRa_Send!e21" display="LoRa_Send_problem" xr:uid="{0C396588-F575-4FAF-9C0E-692C8398C019}"/>
    <hyperlink ref="C21" location="LoRa_TimerHandshakingCallback!C1" display="LoRa_TimerHandshaking_timeout" xr:uid="{C4278B9E-F2D7-4999-9BD7-D63533D1D1CE}"/>
    <hyperlink ref="C22" location="RADIO_WatchdogTimeout!C1" display="watchdogTimerId_timeout" xr:uid="{F156B38D-6191-4A1E-9794-08FEA30C2040}"/>
    <hyperlink ref="C23" location="timeOnAirTimerId!C1" display="timeOnAirTimerId" xr:uid="{9350AEE9-7E59-44E3-8C9A-69B7B0696989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rkusz5.fill_in_LoRa_Send_Header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LoRa_Send_Header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2A150-A73A-4C2C-9789-7613EBAA81D9}">
  <sheetPr codeName="Arkusz8"/>
  <dimension ref="A1:K77"/>
  <sheetViews>
    <sheetView showZeros="0" tabSelected="1" workbookViewId="0">
      <selection activeCell="C1" sqref="C1"/>
    </sheetView>
  </sheetViews>
  <sheetFormatPr defaultRowHeight="14.3" x14ac:dyDescent="0.25"/>
  <cols>
    <col min="2" max="2" width="15.25" style="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1:11" x14ac:dyDescent="0.25">
      <c r="A1" s="5"/>
      <c r="C1" s="4" t="s">
        <v>13</v>
      </c>
      <c r="D1" s="2" t="s">
        <v>14</v>
      </c>
      <c r="I1" s="2" t="s">
        <v>3</v>
      </c>
    </row>
    <row r="3" spans="1:11" x14ac:dyDescent="0.25">
      <c r="C3" t="str">
        <f>LoRa_Send_Header!C3</f>
        <v>LoRa_transmitStatus</v>
      </c>
      <c r="D3" s="2" t="str">
        <f>I3</f>
        <v>LoRa_Handshaking_RX</v>
      </c>
      <c r="E3">
        <f>LoRa_Send_Header!E3</f>
        <v>0</v>
      </c>
      <c r="F3">
        <f>LoRa_Send_Header!F3</f>
        <v>0</v>
      </c>
      <c r="G3" t="str">
        <f>LoRa_Send_Header!G3</f>
        <v>LoRaMacState_t</v>
      </c>
      <c r="H3" t="str">
        <f>LoRa_Send_Header!H3</f>
        <v>LoRa_transmitStatus</v>
      </c>
      <c r="I3" s="46" t="s">
        <v>18</v>
      </c>
      <c r="J3">
        <f>LoRa_Send_Header!J3</f>
        <v>0</v>
      </c>
    </row>
    <row r="4" spans="1:11" x14ac:dyDescent="0.25">
      <c r="C4" t="str">
        <f>LoRa_Send_Header!C4</f>
        <v>LoRa_StatusDanych</v>
      </c>
      <c r="D4" s="2" t="str">
        <f>I4</f>
        <v>LoRa_transmiting</v>
      </c>
      <c r="E4">
        <f>LoRa_Send_Header!E4</f>
        <v>0</v>
      </c>
      <c r="F4">
        <f>LoRa_Send_Header!F4</f>
        <v>0</v>
      </c>
      <c r="G4" t="str">
        <f>LoRa_Send_Header!G4</f>
        <v>LoRaStatus_t</v>
      </c>
      <c r="H4" t="str">
        <f>LoRa_Send_Header!H4</f>
        <v>LoRa_StatusDanych</v>
      </c>
      <c r="I4" s="2" t="str">
        <f>LoRa_Send_Header!I4</f>
        <v>LoRa_transmiting</v>
      </c>
      <c r="J4">
        <f>LoRa_Send_Header!J4</f>
        <v>0</v>
      </c>
      <c r="K4" s="35" t="s">
        <v>86</v>
      </c>
    </row>
    <row r="5" spans="1:11" x14ac:dyDescent="0.25">
      <c r="C5" t="str">
        <f>LoRa_Send_Header!C5</f>
        <v>flags</v>
      </c>
      <c r="D5" s="2" t="str">
        <f>I47</f>
        <v>2</v>
      </c>
      <c r="E5">
        <f>LoRa_Send_Header!E5</f>
        <v>0</v>
      </c>
      <c r="F5">
        <f>LoRa_Send_Header!F5</f>
        <v>0</v>
      </c>
      <c r="G5" t="str">
        <f>LoRa_Send_Header!G5</f>
        <v>bool</v>
      </c>
      <c r="H5" t="str">
        <f>LoRa_Send_Header!H5</f>
        <v>LoRa_initialised</v>
      </c>
      <c r="I5" s="2" t="str">
        <f>LoRa_Send_Header!I5</f>
        <v>ENABLED</v>
      </c>
      <c r="J5">
        <f>LoRa_Send_Header!J5</f>
        <v>0</v>
      </c>
    </row>
    <row r="6" spans="1:11" x14ac:dyDescent="0.25">
      <c r="C6">
        <f>LoRa_Send_Header!C6</f>
        <v>0</v>
      </c>
      <c r="D6" s="2">
        <f>LoRa_Send_Header!D6</f>
        <v>0</v>
      </c>
      <c r="E6">
        <f>LoRa_Send_Header!E6</f>
        <v>0</v>
      </c>
      <c r="F6">
        <f>LoRa_Send_Header!F6</f>
        <v>0</v>
      </c>
      <c r="G6" t="str">
        <f>LoRa_Send_Header!G6</f>
        <v>FCnt_t</v>
      </c>
      <c r="H6" t="str">
        <f>LoRa_Send_Header!H6</f>
        <v>LoRa_Counter</v>
      </c>
      <c r="I6" s="2" t="str">
        <f>LoRa_Send_Header!I6</f>
        <v>++</v>
      </c>
      <c r="J6">
        <f>LoRa_Send_Header!J6</f>
        <v>0</v>
      </c>
    </row>
    <row r="7" spans="1:11" x14ac:dyDescent="0.25">
      <c r="C7" s="16"/>
      <c r="D7" s="25"/>
      <c r="E7" s="17"/>
      <c r="F7" s="18"/>
      <c r="G7" t="str">
        <f>LoRa_Send_Header!G7</f>
        <v>uint8_t</v>
      </c>
      <c r="H7" t="str">
        <f>LoRa_Send_Header!H7</f>
        <v>LoRa_Addres</v>
      </c>
      <c r="I7" s="2" t="str">
        <f>LoRa_Send_Header!I7</f>
        <v>LoRaDeviceAddress</v>
      </c>
      <c r="J7">
        <f>LoRa_Send_Header!J7</f>
        <v>0</v>
      </c>
    </row>
    <row r="8" spans="1:11" x14ac:dyDescent="0.25">
      <c r="C8" s="19"/>
      <c r="D8" s="26"/>
      <c r="E8" s="20"/>
      <c r="F8" s="21"/>
      <c r="G8" t="str">
        <f>LoRa_Send_Header!G8</f>
        <v>uint8_t</v>
      </c>
      <c r="H8" t="str">
        <f>LoRa_Send_Header!H8</f>
        <v>LoRa_TimerHandshaking</v>
      </c>
      <c r="I8" s="2" t="str">
        <f>LoRa_Send_Header!I8</f>
        <v>LoRa_Handshaking_timeout</v>
      </c>
      <c r="J8" t="str">
        <f>LoRa_Send_Header!J8</f>
        <v>LoRa_TimerHandshakingCallback</v>
      </c>
    </row>
    <row r="9" spans="1:11" x14ac:dyDescent="0.25">
      <c r="B9" s="73"/>
      <c r="C9" s="19"/>
      <c r="D9" s="26"/>
      <c r="E9" s="20"/>
      <c r="F9" s="31" t="s">
        <v>234</v>
      </c>
      <c r="G9" t="str">
        <f>LoRa_Send_Header!G9</f>
        <v>uint8_t</v>
      </c>
      <c r="H9" t="str">
        <f>LoRa_Send_Header!H9</f>
        <v>LoRa_TimerRetransmit</v>
      </c>
      <c r="I9" s="2" t="str">
        <f>LoRa_Send_Header!I9</f>
        <v>0</v>
      </c>
      <c r="J9" t="str">
        <f>LoRa_Send_Header!J9</f>
        <v>LoRa_TimerRetransmitCallback</v>
      </c>
    </row>
    <row r="10" spans="1:11" x14ac:dyDescent="0.25">
      <c r="B10" s="5" t="s">
        <v>235</v>
      </c>
      <c r="C10" s="41" t="s">
        <v>13</v>
      </c>
      <c r="D10" s="37" t="s">
        <v>14</v>
      </c>
      <c r="E10" s="20"/>
      <c r="F10" s="51" t="s">
        <v>230</v>
      </c>
      <c r="G10" t="str">
        <f>LoRa_Send_Header!G10</f>
        <v>uint8_t</v>
      </c>
      <c r="H10" t="str">
        <f>LoRa_Send_Header!H10</f>
        <v>LoRa_TimerWaitAck</v>
      </c>
      <c r="I10" s="2" t="str">
        <f>LoRa_Send_Header!I10</f>
        <v>0</v>
      </c>
      <c r="J10" t="str">
        <f>LoRa_Send_Header!J10</f>
        <v>LoRa_TimerWaitAckCallback</v>
      </c>
    </row>
    <row r="11" spans="1:11" x14ac:dyDescent="0.25">
      <c r="B11" s="5" t="s">
        <v>236</v>
      </c>
      <c r="C11" s="33" t="s">
        <v>103</v>
      </c>
      <c r="D11" s="26"/>
      <c r="E11" s="20"/>
      <c r="F11" s="50" t="s">
        <v>230</v>
      </c>
      <c r="G11" t="str">
        <f>LoRa_Send_Header!G11</f>
        <v>uint8_t</v>
      </c>
      <c r="H11" t="str">
        <f>LoRa_Send_Header!H11</f>
        <v>LoRa_HeaderBufor</v>
      </c>
      <c r="I11" s="2" t="str">
        <f>LoRa_Send_Header!I11</f>
        <v>LoRa_Addres, nxt_channel</v>
      </c>
      <c r="J11">
        <f>LoRa_Send_Header!J11</f>
        <v>0</v>
      </c>
    </row>
    <row r="12" spans="1:11" x14ac:dyDescent="0.25">
      <c r="C12" s="43" t="s">
        <v>195</v>
      </c>
      <c r="D12" s="44" t="s">
        <v>87</v>
      </c>
      <c r="E12" s="47" t="s">
        <v>86</v>
      </c>
      <c r="F12" s="49" t="s">
        <v>230</v>
      </c>
      <c r="G12" t="str">
        <f>LoRa_Send_Header!G12</f>
        <v>uint8_t</v>
      </c>
      <c r="H12" t="str">
        <f>LoRa_Send_Header!H12</f>
        <v>LoRa_HeaderLength</v>
      </c>
      <c r="I12" s="2" t="str">
        <f>LoRa_Send_Header!I12</f>
        <v>bufferHeadIndex</v>
      </c>
      <c r="J12">
        <f>LoRa_Send_Header!J12</f>
        <v>0</v>
      </c>
    </row>
    <row r="13" spans="1:11" x14ac:dyDescent="0.25">
      <c r="C13" s="52" t="s">
        <v>194</v>
      </c>
      <c r="D13" s="53" t="s">
        <v>87</v>
      </c>
      <c r="E13" s="54" t="s">
        <v>86</v>
      </c>
      <c r="F13" s="55" t="s">
        <v>230</v>
      </c>
      <c r="G13" t="str">
        <f>LoRa_Send_Header!G13</f>
        <v>uint8_t</v>
      </c>
      <c r="H13" t="str">
        <f>LoRa_Send_Header!H13</f>
        <v>LoRa_Bufor</v>
      </c>
      <c r="I13" s="2" t="str">
        <f>LoRa_Send_Header!I13</f>
        <v>bufferIndex, nxt_channel, data, CRC</v>
      </c>
      <c r="J13">
        <f>LoRa_Send_Header!J13</f>
        <v>0</v>
      </c>
    </row>
    <row r="14" spans="1:11" x14ac:dyDescent="0.25">
      <c r="C14" s="63" t="s">
        <v>153</v>
      </c>
      <c r="D14" s="64">
        <v>4</v>
      </c>
      <c r="E14" s="20"/>
      <c r="F14" s="65" t="s">
        <v>230</v>
      </c>
      <c r="G14" t="str">
        <f>LoRa_Send_Header!G14</f>
        <v>uint8_t</v>
      </c>
      <c r="H14" t="str">
        <f>LoRa_Send_Header!H14</f>
        <v>LoRa_BuforLength</v>
      </c>
      <c r="I14" s="2" t="str">
        <f>LoRa_Send_Header!I14</f>
        <v>bufferIndex</v>
      </c>
      <c r="J14">
        <f>LoRa_Send_Header!J14</f>
        <v>0</v>
      </c>
    </row>
    <row r="15" spans="1:11" x14ac:dyDescent="0.25">
      <c r="C15" s="57" t="s">
        <v>148</v>
      </c>
      <c r="D15" s="58">
        <v>4</v>
      </c>
      <c r="E15" s="20"/>
      <c r="F15" s="59" t="s">
        <v>230</v>
      </c>
      <c r="G15" t="str">
        <f>LoRa_Send_Header!G15</f>
        <v>uint8_t</v>
      </c>
      <c r="H15" t="str">
        <f>LoRa_Send_Header!H15</f>
        <v>LoRa_Command</v>
      </c>
      <c r="I15" s="2">
        <f>LoRa_Send_Header!I15</f>
        <v>0</v>
      </c>
      <c r="J15">
        <f>LoRa_Send_Header!J15</f>
        <v>0</v>
      </c>
    </row>
    <row r="16" spans="1:11" x14ac:dyDescent="0.25">
      <c r="C16" s="19"/>
      <c r="D16" s="26"/>
      <c r="E16" s="20"/>
      <c r="F16" s="21"/>
      <c r="G16" t="str">
        <f>LoRa_Send_Header!G16</f>
        <v>uint8_t</v>
      </c>
      <c r="H16" t="str">
        <f>LoRa_Send_Header!H16</f>
        <v>LoRa_maxChannels</v>
      </c>
      <c r="I16" s="2" t="str">
        <f>LoRa_Send_Header!I16</f>
        <v>MAX_EU_SINGLE_BAND_CHANNELS</v>
      </c>
      <c r="J16">
        <f>LoRa_Send_Header!J16</f>
        <v>0</v>
      </c>
    </row>
    <row r="17" spans="3:10" x14ac:dyDescent="0.25">
      <c r="C17" s="19"/>
      <c r="D17" s="26"/>
      <c r="E17" s="20"/>
      <c r="F17" s="21"/>
      <c r="G17" t="str">
        <f>LoRa_Send_Header!G17</f>
        <v>uint8_t</v>
      </c>
      <c r="H17" t="str">
        <f>LoRa_Send_Header!H17</f>
        <v>LoRa_lastUsedChannelIndex</v>
      </c>
      <c r="I17" s="2" t="str">
        <f>LoRa_Send_Header!I17</f>
        <v>channelRx</v>
      </c>
      <c r="J17">
        <f>LoRa_Send_Header!J17</f>
        <v>0</v>
      </c>
    </row>
    <row r="18" spans="3:10" x14ac:dyDescent="0.25">
      <c r="C18" s="19"/>
      <c r="D18" s="26"/>
      <c r="E18" s="20"/>
      <c r="F18" s="21"/>
      <c r="G18" t="str">
        <f>LoRa_Send_Header!G18</f>
        <v>ReceiveWindowParameters_t</v>
      </c>
      <c r="H18" t="str">
        <f>LoRa_Send_Header!H18</f>
        <v>LoRa_ch0_params.frequency</v>
      </c>
      <c r="I18" s="2" t="str">
        <f>LoRa_Send_Header!I18</f>
        <v>LoRa_CH0_frequency</v>
      </c>
      <c r="J18">
        <f>LoRa_Send_Header!J18</f>
        <v>0</v>
      </c>
    </row>
    <row r="19" spans="3:10" x14ac:dyDescent="0.25">
      <c r="C19" s="19"/>
      <c r="D19" s="26"/>
      <c r="E19" s="20"/>
      <c r="F19" s="21"/>
      <c r="G19">
        <f>LoRa_Send_Header!G19</f>
        <v>0</v>
      </c>
      <c r="H19" t="str">
        <f>LoRa_Send_Header!H19</f>
        <v>LoRa_ch0_params.datarate</v>
      </c>
      <c r="I19" s="2" t="str">
        <f>LoRa_Send_Header!I19</f>
        <v>LoRa_CH0_datarate</v>
      </c>
      <c r="J19">
        <f>LoRa_Send_Header!J19</f>
        <v>0</v>
      </c>
    </row>
    <row r="20" spans="3:10" x14ac:dyDescent="0.25">
      <c r="C20" s="19"/>
      <c r="D20" s="66" t="s">
        <v>19</v>
      </c>
      <c r="E20" s="20"/>
      <c r="F20" s="21"/>
      <c r="G20" t="str">
        <f>LoRa_Send_Header!G20</f>
        <v>ReceiveWindowParameters_t</v>
      </c>
      <c r="H20" t="str">
        <f>LoRa_Send_Header!H20</f>
        <v>LoRa_receiveChannelParameters.frequency</v>
      </c>
      <c r="I20" s="2" t="str">
        <f>LoRa_Send_Header!I20</f>
        <v>LoRa_Channels[channelRxIndex].frequency</v>
      </c>
      <c r="J20">
        <f>LoRa_Send_Header!J20</f>
        <v>0</v>
      </c>
    </row>
    <row r="21" spans="3:10" x14ac:dyDescent="0.25">
      <c r="C21" s="72" t="s">
        <v>213</v>
      </c>
      <c r="D21" s="26"/>
      <c r="E21" s="71" t="s">
        <v>229</v>
      </c>
      <c r="F21" s="21"/>
      <c r="G21">
        <f>LoRa_Send_Header!G21</f>
        <v>0</v>
      </c>
      <c r="H21" t="str">
        <f>LoRa_Send_Header!H21</f>
        <v>LoRa_receiveChannelParameters.dataRate</v>
      </c>
      <c r="I21" s="2" t="str">
        <f>LoRa_Send_Header!I21</f>
        <v>LoRa_currentDataRate</v>
      </c>
      <c r="J21">
        <f>LoRa_Send_Header!J21</f>
        <v>0</v>
      </c>
    </row>
    <row r="22" spans="3:10" x14ac:dyDescent="0.25">
      <c r="C22" s="72" t="s">
        <v>186</v>
      </c>
      <c r="D22" s="26"/>
      <c r="E22" s="20"/>
      <c r="F22" s="21"/>
      <c r="G22" t="str">
        <f>LoRa_Send_Header!G22</f>
        <v>ReceiveWindowParameters_t</v>
      </c>
      <c r="H22" t="str">
        <f>LoRa_Send_Header!H22</f>
        <v>LoRa_sendChannelParameters.frequency</v>
      </c>
      <c r="I22" s="2" t="str">
        <f>LoRa_Send_Header!I22</f>
        <v>LoRa_Channels[channelRxIndex].frequency</v>
      </c>
      <c r="J22">
        <f>LoRa_Send_Header!J22</f>
        <v>0</v>
      </c>
    </row>
    <row r="23" spans="3:10" x14ac:dyDescent="0.25">
      <c r="C23" s="19"/>
      <c r="D23" s="26"/>
      <c r="E23" s="20"/>
      <c r="F23" s="21"/>
      <c r="G23">
        <f>LoRa_Send_Header!G23</f>
        <v>0</v>
      </c>
      <c r="H23" t="str">
        <f>LoRa_Send_Header!H23</f>
        <v>LoRa_sendChannelParameters.dataRate</v>
      </c>
      <c r="I23" s="2" t="str">
        <f>LoRa_Send_Header!I23</f>
        <v>LoRa_currentDataRate</v>
      </c>
      <c r="J23">
        <f>LoRa_Send_Header!J23</f>
        <v>0</v>
      </c>
    </row>
    <row r="24" spans="3:10" x14ac:dyDescent="0.25">
      <c r="C24" s="22"/>
      <c r="D24" s="27"/>
      <c r="E24" s="23"/>
      <c r="F24" s="24"/>
      <c r="G24" t="str">
        <f>LoRa_Send_Header!G24</f>
        <v>uint8_t</v>
      </c>
      <c r="H24" t="str">
        <f>LoRa_Send_Header!H24</f>
        <v>LoRa_txPower</v>
      </c>
      <c r="I24" s="2">
        <f>LoRa_Send_Header!I24</f>
        <v>1</v>
      </c>
      <c r="J24">
        <f>LoRa_Send_Header!J24</f>
        <v>0</v>
      </c>
    </row>
    <row r="25" spans="3:10" x14ac:dyDescent="0.25">
      <c r="C25" t="str">
        <f>LoRa_Send_Header!C25</f>
        <v>DATA</v>
      </c>
      <c r="D25" s="2" t="str">
        <f>LoRa_Send_Header!D25</f>
        <v>LoRa_Addres, nxt_channel</v>
      </c>
      <c r="E25">
        <f>LoRa_Send_Header!E25</f>
        <v>0</v>
      </c>
      <c r="F25">
        <f>LoRa_Send_Header!F25</f>
        <v>0</v>
      </c>
      <c r="G25" t="str">
        <f>LoRa_Send_Header!G25</f>
        <v>uint8_t</v>
      </c>
      <c r="H25" t="str">
        <f>LoRa_Send_Header!H25</f>
        <v>LoRa_syncWord</v>
      </c>
      <c r="I25" s="2" t="str">
        <f>LoRa_Send_Header!I25</f>
        <v>0x34</v>
      </c>
      <c r="J25">
        <f>LoRa_Send_Header!J25</f>
        <v>0</v>
      </c>
    </row>
    <row r="26" spans="3:10" x14ac:dyDescent="0.25">
      <c r="C26" t="str">
        <f>LoRa_Send_Header!C26</f>
        <v>mode</v>
      </c>
      <c r="D26" s="61" t="s">
        <v>155</v>
      </c>
      <c r="E26">
        <f>LoRa_Send_Header!E26</f>
        <v>0</v>
      </c>
      <c r="F26">
        <f>LoRa_Send_Header!F26</f>
        <v>0</v>
      </c>
      <c r="G26" t="str">
        <f>LoRa_Send_Header!G26</f>
        <v>uint8_t</v>
      </c>
      <c r="H26" t="str">
        <f>LoRa_Send_Header!H26</f>
        <v>LoRa_batteryLevel</v>
      </c>
      <c r="I26" s="2" t="str">
        <f>LoRa_Send_Header!I26</f>
        <v>BATTERY_LEVEL_INVALID</v>
      </c>
      <c r="J26">
        <f>LoRa_Send_Header!J26</f>
        <v>0</v>
      </c>
    </row>
    <row r="27" spans="3:10" x14ac:dyDescent="0.25">
      <c r="C27" t="str">
        <f>LoRa_Send_Header!C27</f>
        <v>modulation</v>
      </c>
      <c r="D27" s="61" t="s">
        <v>56</v>
      </c>
      <c r="E27">
        <f>LoRa_Send_Header!E27</f>
        <v>0</v>
      </c>
      <c r="F27">
        <f>LoRa_Send_Header!F27</f>
        <v>0</v>
      </c>
      <c r="G27" t="str">
        <f>LoRa_Send_Header!G27</f>
        <v>IsmBand_t</v>
      </c>
      <c r="H27" t="str">
        <f>LoRa_Send_Header!H27</f>
        <v>LoRa_ismBand</v>
      </c>
      <c r="I27" s="2" t="str">
        <f>LoRa_Send_Header!I27</f>
        <v>ISM_EU868</v>
      </c>
      <c r="J27">
        <f>LoRa_Send_Header!J27</f>
        <v>0</v>
      </c>
    </row>
    <row r="28" spans="3:10" x14ac:dyDescent="0.25">
      <c r="C28" t="str">
        <f>LoRa_Send_Header!C28</f>
        <v>frequency</v>
      </c>
      <c r="D28" s="60" t="str">
        <f>I34</f>
        <v>LoRa_receiveChannelParameters.frequency</v>
      </c>
      <c r="E28">
        <f>LoRa_Send_Header!E28</f>
        <v>0</v>
      </c>
      <c r="F28">
        <f>LoRa_Send_Header!F28</f>
        <v>0</v>
      </c>
      <c r="G28" t="str">
        <f>LoRa_Send_Header!G28</f>
        <v>uint8_t</v>
      </c>
      <c r="H28" t="str">
        <f>LoRa_Send_Header!H28</f>
        <v>LoRa_currentDataRate</v>
      </c>
      <c r="I28" s="2" t="str">
        <f>LoRa_Send_Header!I28</f>
        <v>DR0</v>
      </c>
      <c r="J28">
        <f>LoRa_Send_Header!J28</f>
        <v>0</v>
      </c>
    </row>
    <row r="29" spans="3:10" x14ac:dyDescent="0.25">
      <c r="C29" t="str">
        <f>LoRa_Send_Header!C29</f>
        <v>payload</v>
      </c>
      <c r="D29" s="61">
        <v>1</v>
      </c>
      <c r="E29">
        <f>LoRa_Send_Header!E29</f>
        <v>0</v>
      </c>
      <c r="F29">
        <f>LoRa_Send_Header!F29</f>
        <v>0</v>
      </c>
      <c r="G29" t="str">
        <f>LoRa_Send_Header!G29</f>
        <v>uint8_t</v>
      </c>
      <c r="H29" t="str">
        <f>LoRa_Send_Header!H29</f>
        <v>LoRa_minDataRate</v>
      </c>
      <c r="I29" s="2" t="str">
        <f>LoRa_Send_Header!I29</f>
        <v>DR0</v>
      </c>
      <c r="J29">
        <f>LoRa_Send_Header!J29</f>
        <v>0</v>
      </c>
    </row>
    <row r="30" spans="3:10" x14ac:dyDescent="0.25">
      <c r="C30" t="str">
        <f>LoRa_Send_Header!C30</f>
        <v>power</v>
      </c>
      <c r="D30" s="60" t="str">
        <f>I44</f>
        <v>txPower868[LoRa_txPower]</v>
      </c>
      <c r="E30">
        <f>LoRa_Send_Header!E30</f>
        <v>0</v>
      </c>
      <c r="F30">
        <f>LoRa_Send_Header!F30</f>
        <v>0</v>
      </c>
      <c r="G30" t="str">
        <f>LoRa_Send_Header!G30</f>
        <v>uint8_t</v>
      </c>
      <c r="H30" t="str">
        <f>LoRa_Send_Header!H30</f>
        <v>LoRa_maxDataRate</v>
      </c>
      <c r="I30" s="2" t="str">
        <f>LoRa_Send_Header!I30</f>
        <v>DR7</v>
      </c>
      <c r="J30">
        <f>LoRa_Send_Header!J30</f>
        <v>0</v>
      </c>
    </row>
    <row r="31" spans="3:10" x14ac:dyDescent="0.25">
      <c r="C31" t="str">
        <f>LoRa_Send_Header!C31</f>
        <v>SpreadingFactor</v>
      </c>
      <c r="D31" s="60" t="str">
        <f>I42</f>
        <v>spreadingFactor[LoRa_receiveChannelParameters.dataRate]</v>
      </c>
      <c r="E31">
        <f>LoRa_Send_Header!E31</f>
        <v>0</v>
      </c>
      <c r="F31">
        <f>LoRa_Send_Header!F31</f>
        <v>0</v>
      </c>
      <c r="G31" t="str">
        <f>LoRa_Send_Header!G31</f>
        <v>uint8_t</v>
      </c>
      <c r="H31" t="str">
        <f>LoRa_Send_Header!H31</f>
        <v>LoRa_nextUsedChannel</v>
      </c>
      <c r="I31" s="2">
        <f>LoRa_Send_Header!I31</f>
        <v>0</v>
      </c>
      <c r="J31">
        <f>LoRa_Send_Header!J31</f>
        <v>0</v>
      </c>
    </row>
    <row r="32" spans="3:10" x14ac:dyDescent="0.25">
      <c r="C32" t="str">
        <f>LoRa_Send_Header!C32</f>
        <v>Bandwidth</v>
      </c>
      <c r="D32" s="60" t="str">
        <f>I43</f>
        <v>bandwidth[LoRa_receiveChannelParameters.dataRate]</v>
      </c>
      <c r="E32">
        <f>LoRa_Send_Header!E32</f>
        <v>0</v>
      </c>
      <c r="F32">
        <f>LoRa_Send_Header!F32</f>
        <v>0</v>
      </c>
      <c r="G32">
        <f>LoRa_Send_Header!G32</f>
        <v>0</v>
      </c>
      <c r="H32">
        <f>LoRa_Send_Header!H32</f>
        <v>0</v>
      </c>
      <c r="I32" s="2">
        <f>LoRa_Send_Header!I32</f>
        <v>0</v>
      </c>
      <c r="J32">
        <f>LoRa_Send_Header!J32</f>
        <v>0</v>
      </c>
    </row>
    <row r="33" spans="3:11" x14ac:dyDescent="0.25">
      <c r="C33" t="str">
        <f>LoRa_Send_Header!C33</f>
        <v>SyncWord</v>
      </c>
      <c r="D33" s="60" t="str">
        <f>I38</f>
        <v>LoRa_syncWord</v>
      </c>
      <c r="E33">
        <f>LoRa_Send_Header!E33</f>
        <v>0</v>
      </c>
      <c r="F33">
        <f>LoRa_Send_Header!F33</f>
        <v>0</v>
      </c>
      <c r="G33">
        <f>LoRa_Send_Header!G33</f>
        <v>0</v>
      </c>
      <c r="H33">
        <f>LoRa_Send_Header!H33</f>
        <v>0</v>
      </c>
      <c r="I33" s="2">
        <f>LoRa_Send_Header!I33</f>
        <v>0</v>
      </c>
      <c r="J33">
        <f>LoRa_Send_Header!J33</f>
        <v>0</v>
      </c>
    </row>
    <row r="34" spans="3:11" x14ac:dyDescent="0.25">
      <c r="C34" t="str">
        <f>LoRa_Send_Header!C34</f>
        <v>CRC</v>
      </c>
      <c r="D34" s="60" t="str">
        <f>I45</f>
        <v>DISABLED</v>
      </c>
      <c r="E34">
        <f>LoRa_Send_Header!E34</f>
        <v>0</v>
      </c>
      <c r="F34">
        <f>LoRa_Send_Header!F34</f>
        <v>0</v>
      </c>
      <c r="G34" t="str">
        <f>LoRa_Send_Header!G34</f>
        <v>uint32_t</v>
      </c>
      <c r="H34" t="str">
        <f>LoRa_Send_Header!H34</f>
        <v>frequency</v>
      </c>
      <c r="I34" s="56" t="s">
        <v>86</v>
      </c>
      <c r="J34">
        <f>LoRa_Send_Header!J34</f>
        <v>0</v>
      </c>
    </row>
    <row r="35" spans="3:11" x14ac:dyDescent="0.25">
      <c r="C35" t="str">
        <f>LoRa_Send_Header!C35</f>
        <v>IQInverted</v>
      </c>
      <c r="D35" s="60" t="str">
        <f>I49</f>
        <v>ENABLED</v>
      </c>
      <c r="E35">
        <f>LoRa_Send_Header!E35</f>
        <v>0</v>
      </c>
      <c r="F35">
        <f>LoRa_Send_Header!F35</f>
        <v>0</v>
      </c>
      <c r="G35" t="str">
        <f>LoRa_Send_Header!G35</f>
        <v>uint32_t</v>
      </c>
      <c r="H35" t="str">
        <f>LoRa_Send_Header!H35</f>
        <v>frequencyDeviation</v>
      </c>
      <c r="I35" s="2">
        <f>LoRa_Send_Header!I35</f>
        <v>25000</v>
      </c>
      <c r="J35">
        <f>LoRa_Send_Header!J35</f>
        <v>0</v>
      </c>
    </row>
    <row r="36" spans="3:11" x14ac:dyDescent="0.25">
      <c r="C36" t="str">
        <f>LoRa_Send_Header!C36</f>
        <v>HopPeriod</v>
      </c>
      <c r="D36" s="60" t="str">
        <f>I48</f>
        <v>DISABLED</v>
      </c>
      <c r="E36">
        <f>LoRa_Send_Header!E36</f>
        <v>0</v>
      </c>
      <c r="F36">
        <f>LoRa_Send_Header!F36</f>
        <v>0</v>
      </c>
      <c r="G36" t="str">
        <f>LoRa_Send_Header!G36</f>
        <v>uint32_t</v>
      </c>
      <c r="H36" t="str">
        <f>LoRa_Send_Header!H36</f>
        <v>bitRate</v>
      </c>
      <c r="I36" s="2">
        <f>LoRa_Send_Header!I36</f>
        <v>50000</v>
      </c>
      <c r="J36">
        <f>LoRa_Send_Header!J36</f>
        <v>0</v>
      </c>
    </row>
    <row r="37" spans="3:11" x14ac:dyDescent="0.25">
      <c r="C37" t="str">
        <f>LoRa_Send_Header!C37</f>
        <v>errorCodingRate</v>
      </c>
      <c r="D37" s="60" t="str">
        <f>I50</f>
        <v>CR_4_5</v>
      </c>
      <c r="E37">
        <f>LoRa_Send_Header!E37</f>
        <v>0</v>
      </c>
      <c r="F37">
        <f>LoRa_Send_Header!F37</f>
        <v>0</v>
      </c>
      <c r="G37" t="str">
        <f>LoRa_Send_Header!G37</f>
        <v>uint16_t</v>
      </c>
      <c r="H37" t="str">
        <f>LoRa_Send_Header!H37</f>
        <v>preambleLen</v>
      </c>
      <c r="I37" s="2">
        <f>LoRa_Send_Header!I37</f>
        <v>8</v>
      </c>
      <c r="J37">
        <f>LoRa_Send_Header!J37</f>
        <v>0</v>
      </c>
    </row>
    <row r="38" spans="3:11" x14ac:dyDescent="0.25">
      <c r="C38" t="str">
        <f>LoRa_Send_Header!C38</f>
        <v>implicitHeaderMode</v>
      </c>
      <c r="D38" s="60" t="str">
        <f>I51</f>
        <v>0</v>
      </c>
      <c r="E38">
        <f>LoRa_Send_Header!E38</f>
        <v>0</v>
      </c>
      <c r="F38">
        <f>LoRa_Send_Header!F38</f>
        <v>0</v>
      </c>
      <c r="G38" t="str">
        <f>LoRa_Send_Header!G38</f>
        <v>uint8_t</v>
      </c>
      <c r="H38" t="str">
        <f>LoRa_Send_Header!H38</f>
        <v>syncWordLoRa</v>
      </c>
      <c r="I38" s="56" t="s">
        <v>69</v>
      </c>
      <c r="J38">
        <f>LoRa_Send_Header!J38</f>
        <v>0</v>
      </c>
    </row>
    <row r="39" spans="3:11" x14ac:dyDescent="0.25">
      <c r="C39" t="str">
        <f>LoRa_Send_Header!C39</f>
        <v>preambleLen</v>
      </c>
      <c r="D39" s="60">
        <f>I37</f>
        <v>8</v>
      </c>
      <c r="E39">
        <f>LoRa_Send_Header!E39</f>
        <v>0</v>
      </c>
      <c r="F39">
        <f>LoRa_Send_Header!F39</f>
        <v>0</v>
      </c>
      <c r="G39" t="str">
        <f>LoRa_Send_Header!G39</f>
        <v>uint8_t</v>
      </c>
      <c r="H39" t="str">
        <f>LoRa_Send_Header!H39</f>
        <v>syncWord</v>
      </c>
      <c r="I39" s="2" t="str">
        <f>LoRa_Send_Header!I39</f>
        <v>0xc1 0x94 0xc1</v>
      </c>
      <c r="J39">
        <f>LoRa_Send_Header!J39</f>
        <v>0</v>
      </c>
    </row>
    <row r="40" spans="3:11" x14ac:dyDescent="0.25">
      <c r="C40" t="str">
        <f>LoRa_Send_Header!C40</f>
        <v>symbolTimeout</v>
      </c>
      <c r="D40" s="60">
        <v>4</v>
      </c>
      <c r="E40">
        <f>LoRa_Send_Header!E40</f>
        <v>0</v>
      </c>
      <c r="F40">
        <f>LoRa_Send_Header!F40</f>
        <v>0</v>
      </c>
      <c r="G40" t="str">
        <f>LoRa_Send_Header!G40</f>
        <v>uint8_t</v>
      </c>
      <c r="H40" t="str">
        <f>LoRa_Send_Header!H40</f>
        <v>syncWordLen</v>
      </c>
      <c r="I40" s="2">
        <f>LoRa_Send_Header!I40</f>
        <v>3</v>
      </c>
      <c r="J40">
        <f>LoRa_Send_Header!J40</f>
        <v>0</v>
      </c>
    </row>
    <row r="41" spans="3:11" x14ac:dyDescent="0.25">
      <c r="C41" t="str">
        <f>LoRa_Send_Header!C41</f>
        <v>FSKfreqDeviation</v>
      </c>
      <c r="D41" s="60">
        <f>I35</f>
        <v>25000</v>
      </c>
      <c r="E41">
        <f>LoRa_Send_Header!E41</f>
        <v>0</v>
      </c>
      <c r="F41">
        <f>LoRa_Send_Header!F41</f>
        <v>0</v>
      </c>
      <c r="G41" t="str">
        <f>LoRa_Send_Header!G41</f>
        <v>RadioModulation_t</v>
      </c>
      <c r="H41" t="str">
        <f>LoRa_Send_Header!H41</f>
        <v>modulation</v>
      </c>
      <c r="I41" s="56" t="s">
        <v>197</v>
      </c>
      <c r="J41">
        <f>LoRa_Send_Header!J41</f>
        <v>0</v>
      </c>
    </row>
    <row r="42" spans="3:11" x14ac:dyDescent="0.25">
      <c r="C42" t="str">
        <f>LoRa_Send_Header!C42</f>
        <v>FSKBitRate</v>
      </c>
      <c r="D42" s="60">
        <f>I36</f>
        <v>50000</v>
      </c>
      <c r="E42">
        <f>LoRa_Send_Header!E42</f>
        <v>0</v>
      </c>
      <c r="F42">
        <f>LoRa_Send_Header!F42</f>
        <v>0</v>
      </c>
      <c r="G42" t="str">
        <f>LoRa_Send_Header!G42</f>
        <v>RadioDataRate_t</v>
      </c>
      <c r="H42" t="str">
        <f>LoRa_Send_Header!H42</f>
        <v>dataRate</v>
      </c>
      <c r="I42" s="56" t="s">
        <v>215</v>
      </c>
      <c r="J42">
        <f>LoRa_Send_Header!J42</f>
        <v>0</v>
      </c>
    </row>
    <row r="43" spans="3:11" x14ac:dyDescent="0.25">
      <c r="C43" t="str">
        <f>LoRa_Send_Header!C43</f>
        <v>FSK_PREAMBLE</v>
      </c>
      <c r="D43" s="60">
        <f>I37</f>
        <v>8</v>
      </c>
      <c r="E43">
        <f>LoRa_Send_Header!E43</f>
        <v>0</v>
      </c>
      <c r="F43">
        <f>LoRa_Send_Header!F43</f>
        <v>0</v>
      </c>
      <c r="G43" t="str">
        <f>LoRa_Send_Header!G43</f>
        <v>RadioLoRaBandWidth_t</v>
      </c>
      <c r="H43" t="str">
        <f>LoRa_Send_Header!H43</f>
        <v>bandWidth</v>
      </c>
      <c r="I43" s="56" t="s">
        <v>216</v>
      </c>
      <c r="J43">
        <f>LoRa_Send_Header!J43</f>
        <v>0</v>
      </c>
    </row>
    <row r="44" spans="3:11" x14ac:dyDescent="0.25">
      <c r="C44" t="str">
        <f>LoRa_Send_Header!C44</f>
        <v>fskDataShaping</v>
      </c>
      <c r="D44" s="60" t="str">
        <f>I63</f>
        <v>FSK_SHAPING_GAUSS_BT_0_5</v>
      </c>
      <c r="E44">
        <f>LoRa_Send_Header!E44</f>
        <v>0</v>
      </c>
      <c r="F44">
        <f>LoRa_Send_Header!F44</f>
        <v>0</v>
      </c>
      <c r="G44" t="str">
        <f>LoRa_Send_Header!G44</f>
        <v>int8_t</v>
      </c>
      <c r="H44" t="str">
        <f>LoRa_Send_Header!H44</f>
        <v>outputPower</v>
      </c>
      <c r="I44" s="2" t="str">
        <f>LoRa_Send_Header!I44</f>
        <v>txPower868[LoRa_txPower]</v>
      </c>
      <c r="J44">
        <f>LoRa_Send_Header!J44</f>
        <v>0</v>
      </c>
    </row>
    <row r="45" spans="3:11" x14ac:dyDescent="0.25">
      <c r="C45">
        <f>LoRa_Send_Header!C45</f>
        <v>0</v>
      </c>
      <c r="D45" s="2">
        <f>LoRa_Send_Header!D45</f>
        <v>0</v>
      </c>
      <c r="E45">
        <f>LoRa_Send_Header!E45</f>
        <v>0</v>
      </c>
      <c r="F45">
        <f>LoRa_Send_Header!F45</f>
        <v>0</v>
      </c>
      <c r="G45" t="str">
        <f>LoRa_Send_Header!G45</f>
        <v>uint8_t</v>
      </c>
      <c r="H45" t="str">
        <f>LoRa_Send_Header!H45</f>
        <v>crcOn</v>
      </c>
      <c r="I45" s="6" t="s">
        <v>93</v>
      </c>
      <c r="J45">
        <f>LoRa_Send_Header!J45</f>
        <v>0</v>
      </c>
    </row>
    <row r="46" spans="3:11" x14ac:dyDescent="0.25">
      <c r="C46">
        <f>LoRa_Send_Header!C46</f>
        <v>0</v>
      </c>
      <c r="D46" s="2">
        <f>LoRa_Send_Header!D46</f>
        <v>0</v>
      </c>
      <c r="E46">
        <f>LoRa_Send_Header!E46</f>
        <v>0</v>
      </c>
      <c r="F46">
        <f>LoRa_Send_Header!F46</f>
        <v>0</v>
      </c>
      <c r="G46" t="str">
        <f>LoRa_Send_Header!G46</f>
        <v>uint8_t</v>
      </c>
      <c r="H46" t="str">
        <f>LoRa_Send_Header!H46</f>
        <v>paBoost</v>
      </c>
      <c r="I46" s="2" t="str">
        <f>LoRa_Send_Header!I46</f>
        <v>0</v>
      </c>
      <c r="J46">
        <f>LoRa_Send_Header!J46</f>
        <v>0</v>
      </c>
    </row>
    <row r="47" spans="3:11" x14ac:dyDescent="0.25">
      <c r="C47">
        <f>LoRa_Send_Header!C47</f>
        <v>0</v>
      </c>
      <c r="D47" s="2">
        <f>LoRa_Send_Header!D47</f>
        <v>0</v>
      </c>
      <c r="E47">
        <f>LoRa_Send_Header!E47</f>
        <v>0</v>
      </c>
      <c r="F47">
        <f>LoRa_Send_Header!F47</f>
        <v>0</v>
      </c>
      <c r="G47" t="str">
        <f>LoRa_Send_Header!G47</f>
        <v>uint8_t</v>
      </c>
      <c r="H47" t="str">
        <f>LoRa_Send_Header!H47</f>
        <v>flags</v>
      </c>
      <c r="I47" s="62" t="s">
        <v>227</v>
      </c>
      <c r="J47" s="69"/>
      <c r="K47" s="70" t="s">
        <v>152</v>
      </c>
    </row>
    <row r="48" spans="3:11" x14ac:dyDescent="0.25">
      <c r="C48">
        <f>LoRa_Send_Header!C48</f>
        <v>0</v>
      </c>
      <c r="D48" s="2">
        <f>LoRa_Send_Header!D48</f>
        <v>0</v>
      </c>
      <c r="E48">
        <f>LoRa_Send_Header!E48</f>
        <v>0</v>
      </c>
      <c r="F48">
        <f>LoRa_Send_Header!F48</f>
        <v>0</v>
      </c>
      <c r="G48" t="str">
        <f>LoRa_Send_Header!G48</f>
        <v>uint16_t</v>
      </c>
      <c r="H48" t="str">
        <f>LoRa_Send_Header!H48</f>
        <v>frequencyHopPeriod</v>
      </c>
      <c r="I48" s="56" t="s">
        <v>93</v>
      </c>
      <c r="J48" s="69" t="s">
        <v>154</v>
      </c>
      <c r="K48" s="70" t="s">
        <v>154</v>
      </c>
    </row>
    <row r="49" spans="3:11" x14ac:dyDescent="0.25">
      <c r="C49">
        <f>LoRa_Send_Header!C49</f>
        <v>0</v>
      </c>
      <c r="D49" s="2">
        <f>LoRa_Send_Header!D49</f>
        <v>0</v>
      </c>
      <c r="E49">
        <f>LoRa_Send_Header!E49</f>
        <v>0</v>
      </c>
      <c r="F49">
        <f>LoRa_Send_Header!F49</f>
        <v>0</v>
      </c>
      <c r="G49" t="str">
        <f>LoRa_Send_Header!G49</f>
        <v>uint8_t</v>
      </c>
      <c r="H49" t="str">
        <f>LoRa_Send_Header!H49</f>
        <v>iqInverted</v>
      </c>
      <c r="I49" s="6" t="s">
        <v>39</v>
      </c>
      <c r="J49" s="69"/>
      <c r="K49" s="70" t="s">
        <v>228</v>
      </c>
    </row>
    <row r="50" spans="3:11" x14ac:dyDescent="0.25">
      <c r="C50">
        <f>LoRa_Send_Header!C50</f>
        <v>0</v>
      </c>
      <c r="D50" s="2">
        <f>LoRa_Send_Header!D50</f>
        <v>0</v>
      </c>
      <c r="E50">
        <f>LoRa_Send_Header!E50</f>
        <v>0</v>
      </c>
      <c r="F50">
        <f>LoRa_Send_Header!F50</f>
        <v>0</v>
      </c>
      <c r="G50" t="str">
        <f>LoRa_Send_Header!G50</f>
        <v>RadioErrorCodingRate_t</v>
      </c>
      <c r="H50" t="str">
        <f>LoRa_Send_Header!H50</f>
        <v>errorCodingRate</v>
      </c>
      <c r="I50" s="2" t="str">
        <f>LoRa_Send_Header!I50</f>
        <v>CR_4_5</v>
      </c>
      <c r="J50" s="69"/>
    </row>
    <row r="51" spans="3:11" x14ac:dyDescent="0.25">
      <c r="C51">
        <f>LoRa_Send_Header!C51</f>
        <v>0</v>
      </c>
      <c r="D51" s="2">
        <f>LoRa_Send_Header!D51</f>
        <v>0</v>
      </c>
      <c r="E51">
        <f>LoRa_Send_Header!E51</f>
        <v>0</v>
      </c>
      <c r="F51">
        <f>LoRa_Send_Header!F51</f>
        <v>0</v>
      </c>
      <c r="G51" t="str">
        <f>LoRa_Send_Header!G51</f>
        <v>uint8_t</v>
      </c>
      <c r="H51" t="str">
        <f>LoRa_Send_Header!H51</f>
        <v>implicitHeaderMode</v>
      </c>
      <c r="I51" s="2" t="str">
        <f>LoRa_Send_Header!I51</f>
        <v>0</v>
      </c>
      <c r="J51" s="69"/>
      <c r="K51" s="70" t="s">
        <v>229</v>
      </c>
    </row>
    <row r="52" spans="3:11" x14ac:dyDescent="0.25">
      <c r="C52">
        <f>LoRa_Send_Header!C52</f>
        <v>0</v>
      </c>
      <c r="D52" s="2">
        <f>LoRa_Send_Header!D52</f>
        <v>0</v>
      </c>
      <c r="E52">
        <f>LoRa_Send_Header!E52</f>
        <v>0</v>
      </c>
      <c r="F52">
        <f>LoRa_Send_Header!F52</f>
        <v>0</v>
      </c>
      <c r="G52">
        <f>LoRa_Send_Header!G52</f>
        <v>0</v>
      </c>
      <c r="H52">
        <f>LoRa_Send_Header!H52</f>
        <v>0</v>
      </c>
      <c r="I52" s="2">
        <f>LoRa_Send_Header!I52</f>
        <v>0</v>
      </c>
      <c r="J52">
        <f>LoRa_Send_Header!J52</f>
        <v>0</v>
      </c>
    </row>
    <row r="53" spans="3:11" x14ac:dyDescent="0.25">
      <c r="C53">
        <f>LoRa_Send_Header!C53</f>
        <v>0</v>
      </c>
      <c r="D53" s="2">
        <f>LoRa_Send_Header!D53</f>
        <v>0</v>
      </c>
      <c r="E53">
        <f>LoRa_Send_Header!E53</f>
        <v>0</v>
      </c>
      <c r="F53">
        <f>LoRa_Send_Header!F53</f>
        <v>0</v>
      </c>
      <c r="G53" t="str">
        <f>LoRa_Send_Header!G53</f>
        <v>uint8_t</v>
      </c>
      <c r="H53" t="str">
        <f>LoRa_Send_Header!H53</f>
        <v>dataBufferLen</v>
      </c>
      <c r="I53" s="2" t="str">
        <f>LoRa_Send_Header!I53</f>
        <v>0</v>
      </c>
      <c r="J53">
        <f>LoRa_Send_Header!J53</f>
        <v>0</v>
      </c>
    </row>
    <row r="54" spans="3:11" x14ac:dyDescent="0.25">
      <c r="C54">
        <f>LoRa_Send_Header!C54</f>
        <v>0</v>
      </c>
      <c r="D54" s="2">
        <f>LoRa_Send_Header!D54</f>
        <v>0</v>
      </c>
      <c r="E54">
        <f>LoRa_Send_Header!E54</f>
        <v>0</v>
      </c>
      <c r="F54">
        <f>LoRa_Send_Header!F54</f>
        <v>0</v>
      </c>
      <c r="G54" t="str">
        <f>LoRa_Send_Header!G54</f>
        <v>uint8_t *</v>
      </c>
      <c r="H54" t="str">
        <f>LoRa_Send_Header!H54</f>
        <v>dataBuffer</v>
      </c>
      <c r="I54" s="2" t="str">
        <f>LoRa_Send_Header!I54</f>
        <v>LoRa_radioBuffer</v>
      </c>
      <c r="J54">
        <f>LoRa_Send_Header!J54</f>
        <v>0</v>
      </c>
    </row>
    <row r="55" spans="3:11" x14ac:dyDescent="0.25">
      <c r="C55">
        <f>LoRa_Send_Header!C55</f>
        <v>0</v>
      </c>
      <c r="D55" s="2">
        <f>LoRa_Send_Header!D55</f>
        <v>0</v>
      </c>
      <c r="E55">
        <f>LoRa_Send_Header!E55</f>
        <v>0</v>
      </c>
      <c r="F55">
        <f>LoRa_Send_Header!F55</f>
        <v>0</v>
      </c>
      <c r="G55" t="str">
        <f>LoRa_Send_Header!G55</f>
        <v>uint8_t</v>
      </c>
      <c r="H55" t="str">
        <f>LoRa_Send_Header!H55</f>
        <v>timeOnAirTimerId</v>
      </c>
      <c r="I55" s="2" t="str">
        <f>LoRa_Send_Header!I55</f>
        <v>TIME_ON_AIR_LOAD_VALUE</v>
      </c>
      <c r="J55">
        <f>LoRa_Send_Header!J55</f>
        <v>0</v>
      </c>
    </row>
    <row r="56" spans="3:11" x14ac:dyDescent="0.25">
      <c r="C56">
        <f>LoRa_Send_Header!C56</f>
        <v>0</v>
      </c>
      <c r="D56" s="2">
        <f>LoRa_Send_Header!D56</f>
        <v>0</v>
      </c>
      <c r="E56">
        <f>LoRa_Send_Header!E56</f>
        <v>0</v>
      </c>
      <c r="F56">
        <f>LoRa_Send_Header!F56</f>
        <v>0</v>
      </c>
      <c r="G56" t="str">
        <f>LoRa_Send_Header!G56</f>
        <v>uint8_t</v>
      </c>
      <c r="H56" t="str">
        <f>LoRa_Send_Header!H56</f>
        <v>fskRxWindowTimerId</v>
      </c>
      <c r="I56" s="2" t="str">
        <f>LoRa_Send_Header!I56</f>
        <v>0</v>
      </c>
      <c r="J56" t="str">
        <f>LoRa_Send_Header!J56</f>
        <v>RADIO_RxFSKTimeout</v>
      </c>
    </row>
    <row r="57" spans="3:11" x14ac:dyDescent="0.25">
      <c r="C57">
        <f>LoRa_Send_Header!C57</f>
        <v>0</v>
      </c>
      <c r="D57" s="2">
        <f>LoRa_Send_Header!D57</f>
        <v>0</v>
      </c>
      <c r="E57">
        <f>LoRa_Send_Header!E57</f>
        <v>0</v>
      </c>
      <c r="F57">
        <f>LoRa_Send_Header!F57</f>
        <v>0</v>
      </c>
      <c r="G57" t="str">
        <f>LoRa_Send_Header!G57</f>
        <v>uint8_t</v>
      </c>
      <c r="H57" t="str">
        <f>LoRa_Send_Header!H57</f>
        <v>watchdogTimerId</v>
      </c>
      <c r="I57" s="62" t="str">
        <f>I58</f>
        <v>WATCHDOG_DEFAULT_TIME</v>
      </c>
      <c r="J57" t="str">
        <f>LoRa_Send_Header!J57</f>
        <v>RADIO_WatchdogTimeout</v>
      </c>
    </row>
    <row r="58" spans="3:11" x14ac:dyDescent="0.25">
      <c r="C58">
        <f>LoRa_Send_Header!C58</f>
        <v>0</v>
      </c>
      <c r="D58" s="2">
        <f>LoRa_Send_Header!D58</f>
        <v>0</v>
      </c>
      <c r="E58">
        <f>LoRa_Send_Header!E58</f>
        <v>0</v>
      </c>
      <c r="F58">
        <f>LoRa_Send_Header!F58</f>
        <v>0</v>
      </c>
      <c r="G58" t="str">
        <f>LoRa_Send_Header!G58</f>
        <v>uint32_t</v>
      </c>
      <c r="H58" t="str">
        <f>LoRa_Send_Header!H58</f>
        <v>watchdogTimerTimeout</v>
      </c>
      <c r="I58" s="2" t="str">
        <f>LoRa_Send_Header!I58</f>
        <v>WATCHDOG_DEFAULT_TIME</v>
      </c>
      <c r="J58">
        <f>LoRa_Send_Header!J58</f>
        <v>0</v>
      </c>
    </row>
    <row r="59" spans="3:11" x14ac:dyDescent="0.25">
      <c r="C59">
        <f>LoRa_Send_Header!C59</f>
        <v>0</v>
      </c>
      <c r="D59" s="2">
        <f>LoRa_Send_Header!D59</f>
        <v>0</v>
      </c>
      <c r="E59">
        <f>LoRa_Send_Header!E59</f>
        <v>0</v>
      </c>
      <c r="F59">
        <f>LoRa_Send_Header!F59</f>
        <v>0</v>
      </c>
      <c r="G59" t="str">
        <f>LoRa_Send_Header!G59</f>
        <v>uint8_t</v>
      </c>
      <c r="H59" t="str">
        <f>LoRa_Send_Header!H59</f>
        <v>initialized</v>
      </c>
      <c r="I59" s="2">
        <f>LoRa_Send_Header!I59</f>
        <v>1</v>
      </c>
      <c r="J59">
        <f>LoRa_Send_Header!J59</f>
        <v>0</v>
      </c>
    </row>
    <row r="60" spans="3:11" x14ac:dyDescent="0.25">
      <c r="C60">
        <f>LoRa_Send_Header!C60</f>
        <v>0</v>
      </c>
      <c r="D60" s="2">
        <f>LoRa_Send_Header!D60</f>
        <v>0</v>
      </c>
      <c r="E60">
        <f>LoRa_Send_Header!E60</f>
        <v>0</v>
      </c>
      <c r="F60">
        <f>LoRa_Send_Header!F60</f>
        <v>0</v>
      </c>
      <c r="G60" t="str">
        <f>LoRa_Send_Header!G60</f>
        <v>uint32_t</v>
      </c>
      <c r="H60" t="str">
        <f>LoRa_Send_Header!H60</f>
        <v>fhssNextFrequency</v>
      </c>
      <c r="I60" s="2" t="str">
        <f>LoRa_Send_Header!I60</f>
        <v>NULL</v>
      </c>
      <c r="J60">
        <f>LoRa_Send_Header!J60</f>
        <v>0</v>
      </c>
    </row>
    <row r="61" spans="3:11" x14ac:dyDescent="0.25">
      <c r="C61">
        <f>LoRa_Send_Header!C61</f>
        <v>0</v>
      </c>
      <c r="D61" s="2">
        <f>LoRa_Send_Header!D61</f>
        <v>0</v>
      </c>
      <c r="E61">
        <f>LoRa_Send_Header!E61</f>
        <v>0</v>
      </c>
      <c r="F61">
        <f>LoRa_Send_Header!F61</f>
        <v>0</v>
      </c>
      <c r="G61" t="str">
        <f>LoRa_Send_Header!G61</f>
        <v>uint8_t</v>
      </c>
      <c r="H61" t="str">
        <f>LoRa_Send_Header!H61</f>
        <v>regVersion</v>
      </c>
      <c r="I61" s="2" t="str">
        <f>LoRa_Send_Header!I61</f>
        <v>REG_VERSION</v>
      </c>
      <c r="J61">
        <f>LoRa_Send_Header!J61</f>
        <v>0</v>
      </c>
    </row>
    <row r="62" spans="3:11" x14ac:dyDescent="0.25">
      <c r="C62">
        <f>LoRa_Send_Header!C62</f>
        <v>0</v>
      </c>
      <c r="D62" s="2">
        <f>LoRa_Send_Header!D62</f>
        <v>0</v>
      </c>
      <c r="E62">
        <f>LoRa_Send_Header!E62</f>
        <v>0</v>
      </c>
      <c r="F62">
        <f>LoRa_Send_Header!F62</f>
        <v>0</v>
      </c>
      <c r="G62" t="str">
        <f>LoRa_Send_Header!G62</f>
        <v>int8_t</v>
      </c>
      <c r="H62" t="str">
        <f>LoRa_Send_Header!H62</f>
        <v>packetSNR</v>
      </c>
      <c r="I62" s="2">
        <f>LoRa_Send_Header!I62</f>
        <v>-128</v>
      </c>
      <c r="J62">
        <f>LoRa_Send_Header!J62</f>
        <v>0</v>
      </c>
    </row>
    <row r="63" spans="3:11" x14ac:dyDescent="0.25">
      <c r="C63">
        <f>LoRa_Send_Header!C63</f>
        <v>0</v>
      </c>
      <c r="D63" s="2">
        <f>LoRa_Send_Header!D63</f>
        <v>0</v>
      </c>
      <c r="E63">
        <f>LoRa_Send_Header!E63</f>
        <v>0</v>
      </c>
      <c r="F63">
        <f>LoRa_Send_Header!F63</f>
        <v>0</v>
      </c>
      <c r="G63" t="str">
        <f>LoRa_Send_Header!G63</f>
        <v>RadioFSKShaping_t</v>
      </c>
      <c r="H63" t="str">
        <f>LoRa_Send_Header!H63</f>
        <v>fskDataShaping</v>
      </c>
      <c r="I63" s="2" t="str">
        <f>LoRa_Send_Header!I63</f>
        <v>FSK_SHAPING_GAUSS_BT_0_5</v>
      </c>
      <c r="J63">
        <f>LoRa_Send_Header!J63</f>
        <v>0</v>
      </c>
    </row>
    <row r="64" spans="3:11" x14ac:dyDescent="0.25">
      <c r="C64">
        <f>LoRa_Send_Header!C64</f>
        <v>0</v>
      </c>
      <c r="D64" s="2">
        <f>LoRa_Send_Header!D64</f>
        <v>0</v>
      </c>
      <c r="E64">
        <f>LoRa_Send_Header!E64</f>
        <v>0</v>
      </c>
      <c r="F64">
        <f>LoRa_Send_Header!F64</f>
        <v>0</v>
      </c>
      <c r="G64" t="str">
        <f>LoRa_Send_Header!G64</f>
        <v>RadioFSKBandWidth_t</v>
      </c>
      <c r="H64" t="str">
        <f>LoRa_Send_Header!H64</f>
        <v>rxBw</v>
      </c>
      <c r="I64" s="2" t="str">
        <f>LoRa_Send_Header!I64</f>
        <v>FSKBW_50_0KHZ</v>
      </c>
      <c r="J64">
        <f>LoRa_Send_Header!J64</f>
        <v>0</v>
      </c>
    </row>
    <row r="65" spans="3:10" x14ac:dyDescent="0.25">
      <c r="C65">
        <f>LoRa_Send_Header!C65</f>
        <v>0</v>
      </c>
      <c r="D65" s="2">
        <f>LoRa_Send_Header!D65</f>
        <v>0</v>
      </c>
      <c r="E65">
        <f>LoRa_Send_Header!E65</f>
        <v>0</v>
      </c>
      <c r="F65">
        <f>LoRa_Send_Header!F65</f>
        <v>0</v>
      </c>
      <c r="G65" t="str">
        <f>LoRa_Send_Header!G65</f>
        <v>RadioFSKBandWidth_t</v>
      </c>
      <c r="H65" t="str">
        <f>LoRa_Send_Header!H65</f>
        <v>afcBw</v>
      </c>
      <c r="I65" s="2" t="str">
        <f>LoRa_Send_Header!I65</f>
        <v>FSKBW_83_3KHZ</v>
      </c>
      <c r="J65">
        <f>LoRa_Send_Header!J65</f>
        <v>0</v>
      </c>
    </row>
    <row r="66" spans="3:10" x14ac:dyDescent="0.25">
      <c r="C66">
        <f>LoRa_Send_Header!C66</f>
        <v>0</v>
      </c>
      <c r="D66" s="2">
        <f>LoRa_Send_Header!D66</f>
        <v>0</v>
      </c>
      <c r="E66">
        <f>LoRa_Send_Header!E66</f>
        <v>0</v>
      </c>
      <c r="F66">
        <f>LoRa_Send_Header!F66</f>
        <v>0</v>
      </c>
      <c r="G66">
        <f>LoRa_Send_Header!G66</f>
        <v>0</v>
      </c>
      <c r="H66">
        <f>LoRa_Send_Header!H66</f>
        <v>0</v>
      </c>
      <c r="I66" s="2">
        <f>LoRa_Send_Header!I66</f>
        <v>0</v>
      </c>
      <c r="J66">
        <f>LoRa_Send_Header!J66</f>
        <v>0</v>
      </c>
    </row>
    <row r="67" spans="3:10" x14ac:dyDescent="0.25">
      <c r="C67">
        <f>LoRa_Send_Header!C67</f>
        <v>0</v>
      </c>
      <c r="D67" s="2">
        <f>LoRa_Send_Header!D67</f>
        <v>0</v>
      </c>
      <c r="E67">
        <f>LoRa_Send_Header!E67</f>
        <v>0</v>
      </c>
      <c r="F67">
        <f>LoRa_Send_Header!F67</f>
        <v>0</v>
      </c>
      <c r="G67">
        <f>LoRa_Send_Header!G67</f>
        <v>0</v>
      </c>
      <c r="H67">
        <f>LoRa_Send_Header!H67</f>
        <v>0</v>
      </c>
      <c r="I67" s="2">
        <f>LoRa_Send_Header!I67</f>
        <v>0</v>
      </c>
      <c r="J67">
        <f>LoRa_Send_Header!J67</f>
        <v>0</v>
      </c>
    </row>
    <row r="68" spans="3:10" x14ac:dyDescent="0.25">
      <c r="C68">
        <f>LoRa_Send_Header!C68</f>
        <v>0</v>
      </c>
      <c r="D68" s="2">
        <f>LoRa_Send_Header!D68</f>
        <v>0</v>
      </c>
      <c r="E68">
        <f>LoRa_Send_Header!E68</f>
        <v>0</v>
      </c>
      <c r="F68">
        <f>LoRa_Send_Header!F68</f>
        <v>0</v>
      </c>
      <c r="G68">
        <f>LoRa_Send_Header!G68</f>
        <v>0</v>
      </c>
      <c r="H68">
        <f>LoRa_Send_Header!H68</f>
        <v>0</v>
      </c>
      <c r="I68" s="2">
        <f>LoRa_Send_Header!I68</f>
        <v>0</v>
      </c>
      <c r="J68">
        <f>LoRa_Send_Header!J68</f>
        <v>0</v>
      </c>
    </row>
    <row r="69" spans="3:10" x14ac:dyDescent="0.25">
      <c r="C69">
        <f>LoRa_Send_Header!C69</f>
        <v>0</v>
      </c>
      <c r="D69" s="2">
        <f>LoRa_Send_Header!D69</f>
        <v>0</v>
      </c>
      <c r="E69">
        <f>LoRa_Send_Header!E69</f>
        <v>0</v>
      </c>
      <c r="F69">
        <f>LoRa_Send_Header!F69</f>
        <v>0</v>
      </c>
      <c r="G69" t="str">
        <f>LoRa_Send_Header!G69</f>
        <v>ChannelParams_t</v>
      </c>
      <c r="H69" t="str">
        <f>LoRa_Send_Header!H69</f>
        <v>Channels</v>
      </c>
      <c r="I69" s="2" t="str">
        <f>LoRa_Send_Header!I69</f>
        <v>DefaultChannels868</v>
      </c>
      <c r="J69">
        <f>LoRa_Send_Header!J69</f>
        <v>0</v>
      </c>
    </row>
    <row r="70" spans="3:10" x14ac:dyDescent="0.25">
      <c r="C70">
        <f>LoRa_Send_Header!C70</f>
        <v>0</v>
      </c>
      <c r="D70" s="2">
        <f>LoRa_Send_Header!D70</f>
        <v>0</v>
      </c>
      <c r="E70">
        <f>LoRa_Send_Header!E70</f>
        <v>0</v>
      </c>
      <c r="F70">
        <f>LoRa_Send_Header!F70</f>
        <v>0</v>
      </c>
      <c r="G70" t="str">
        <f>LoRa_Send_Header!G70</f>
        <v>uint8_t</v>
      </c>
      <c r="H70" t="str">
        <f>LoRa_Send_Header!H70</f>
        <v>maxPayloadSize[]</v>
      </c>
      <c r="I70" s="2" t="str">
        <f>LoRa_Send_Header!I70</f>
        <v>MAX_EU_SINGLE_BAND_CHANNELS</v>
      </c>
      <c r="J70">
        <f>LoRa_Send_Header!J70</f>
        <v>0</v>
      </c>
    </row>
    <row r="71" spans="3:10" x14ac:dyDescent="0.25">
      <c r="C71">
        <f>LoRa_Send_Header!C71</f>
        <v>0</v>
      </c>
      <c r="D71" s="2">
        <f>LoRa_Send_Header!D71</f>
        <v>0</v>
      </c>
      <c r="E71">
        <f>LoRa_Send_Header!E71</f>
        <v>0</v>
      </c>
      <c r="F71">
        <f>LoRa_Send_Header!F71</f>
        <v>0</v>
      </c>
      <c r="G71" t="str">
        <f>LoRa_Send_Header!G71</f>
        <v>uint8_t</v>
      </c>
      <c r="H71" t="str">
        <f>LoRa_Send_Header!H71</f>
        <v>modulation[]</v>
      </c>
      <c r="I71" s="2">
        <f>LoRa_Send_Header!I71</f>
        <v>0</v>
      </c>
      <c r="J71">
        <f>LoRa_Send_Header!J71</f>
        <v>0</v>
      </c>
    </row>
    <row r="72" spans="3:10" x14ac:dyDescent="0.25">
      <c r="C72">
        <f>LoRa_Send_Header!C72</f>
        <v>0</v>
      </c>
      <c r="D72" s="2">
        <f>LoRa_Send_Header!D72</f>
        <v>0</v>
      </c>
      <c r="E72">
        <f>LoRa_Send_Header!E72</f>
        <v>0</v>
      </c>
      <c r="F72">
        <f>LoRa_Send_Header!F72</f>
        <v>0</v>
      </c>
      <c r="G72" t="str">
        <f>LoRa_Send_Header!G72</f>
        <v>uint8_t</v>
      </c>
      <c r="H72" t="str">
        <f>LoRa_Send_Header!H72</f>
        <v>spreadingFactor[]</v>
      </c>
      <c r="I72" s="2">
        <f>LoRa_Send_Header!I72</f>
        <v>0</v>
      </c>
      <c r="J72">
        <f>LoRa_Send_Header!J72</f>
        <v>0</v>
      </c>
    </row>
    <row r="73" spans="3:10" x14ac:dyDescent="0.25">
      <c r="C73">
        <f>LoRa_Send_Header!C73</f>
        <v>0</v>
      </c>
      <c r="D73" s="2">
        <f>LoRa_Send_Header!D73</f>
        <v>0</v>
      </c>
      <c r="E73">
        <f>LoRa_Send_Header!E73</f>
        <v>0</v>
      </c>
      <c r="F73">
        <f>LoRa_Send_Header!F73</f>
        <v>0</v>
      </c>
      <c r="G73" t="str">
        <f>LoRa_Send_Header!G73</f>
        <v>uint8_t</v>
      </c>
      <c r="H73" t="str">
        <f>LoRa_Send_Header!H73</f>
        <v>bandwidth[]</v>
      </c>
      <c r="I73" s="2">
        <f>LoRa_Send_Header!I73</f>
        <v>0</v>
      </c>
      <c r="J73">
        <f>LoRa_Send_Header!J73</f>
        <v>0</v>
      </c>
    </row>
    <row r="74" spans="3:10" x14ac:dyDescent="0.25">
      <c r="C74">
        <f>LoRa_Send_Header!C74</f>
        <v>0</v>
      </c>
      <c r="D74" s="2">
        <f>LoRa_Send_Header!D74</f>
        <v>0</v>
      </c>
      <c r="E74">
        <f>LoRa_Send_Header!E74</f>
        <v>0</v>
      </c>
      <c r="F74">
        <f>LoRa_Send_Header!F74</f>
        <v>0</v>
      </c>
      <c r="G74" t="str">
        <f>LoRa_Send_Header!G74</f>
        <v>uint8_t</v>
      </c>
      <c r="H74" t="str">
        <f>LoRa_Send_Header!H74</f>
        <v>txPower868[]</v>
      </c>
      <c r="I74" s="2">
        <f>LoRa_Send_Header!I74</f>
        <v>0</v>
      </c>
      <c r="J74">
        <f>LoRa_Send_Header!J74</f>
        <v>0</v>
      </c>
    </row>
    <row r="75" spans="3:10" x14ac:dyDescent="0.25">
      <c r="C75">
        <f>LoRa_Send_Header!C75</f>
        <v>0</v>
      </c>
      <c r="D75" s="2">
        <f>LoRa_Send_Header!D75</f>
        <v>0</v>
      </c>
      <c r="E75">
        <f>LoRa_Send_Header!E75</f>
        <v>0</v>
      </c>
      <c r="F75">
        <f>LoRa_Send_Header!F75</f>
        <v>0</v>
      </c>
      <c r="G75" t="str">
        <f>LoRa_Send_Header!G75</f>
        <v>uint8_t</v>
      </c>
      <c r="H75" t="str">
        <f>LoRa_Send_Header!H75</f>
        <v>LoRa_radioBuffer[]</v>
      </c>
      <c r="I75" s="2" t="str">
        <f>LoRa_Send_Header!I75</f>
        <v>MAXIMUM_BUFFER_LENGTH</v>
      </c>
      <c r="J75">
        <f>LoRa_Send_Header!J75</f>
        <v>0</v>
      </c>
    </row>
    <row r="76" spans="3:10" x14ac:dyDescent="0.25">
      <c r="C76">
        <f>LoRa_Send_Header!C76</f>
        <v>0</v>
      </c>
      <c r="D76" s="2">
        <f>LoRa_Send_Header!D76</f>
        <v>0</v>
      </c>
      <c r="E76">
        <f>LoRa_Send_Header!E76</f>
        <v>0</v>
      </c>
      <c r="F76">
        <f>LoRa_Send_Header!F76</f>
        <v>0</v>
      </c>
      <c r="G76">
        <f>LoRa_Send_Header!G76</f>
        <v>0</v>
      </c>
      <c r="H76">
        <f>LoRa_Send_Header!H76</f>
        <v>0</v>
      </c>
      <c r="I76" s="2">
        <f>LoRa_Send_Header!I76</f>
        <v>0</v>
      </c>
      <c r="J76">
        <f>LoRa_Send_Header!J76</f>
        <v>0</v>
      </c>
    </row>
    <row r="77" spans="3:10" x14ac:dyDescent="0.25">
      <c r="C77">
        <f>LoRa_Send_Header!C77</f>
        <v>0</v>
      </c>
      <c r="D77" s="2">
        <f>LoRa_Send_Header!D77</f>
        <v>0</v>
      </c>
      <c r="E77">
        <f>LoRa_Send_Header!E77</f>
        <v>0</v>
      </c>
      <c r="F77">
        <f>LoRa_Send_Header!F77</f>
        <v>0</v>
      </c>
      <c r="G77">
        <f>LoRa_Send_Header!G77</f>
        <v>0</v>
      </c>
      <c r="H77">
        <f>LoRa_Send_Header!H77</f>
        <v>0</v>
      </c>
      <c r="I77" s="2">
        <f>LoRa_Send_Header!I77</f>
        <v>0</v>
      </c>
      <c r="J77">
        <f>LoRa_Send_Header!J77</f>
        <v>0</v>
      </c>
    </row>
  </sheetData>
  <hyperlinks>
    <hyperlink ref="D20" location="RADIO_RxDone!C1" display="LoRa_RxDone" xr:uid="{A5AAD093-0464-4B57-BF0B-5E2408813203}"/>
    <hyperlink ref="E21" location="RADIO_TxDone!e21" display="RADIO_FLAG_TIMEOUT" xr:uid="{120AAE61-8C0B-4D7B-A468-022AD1344059}"/>
    <hyperlink ref="C21" location="LoRa_TimerHandshakingCallback!C1" display="LoRa_TimerHandshaking_timeout" xr:uid="{10588B56-3CCF-4D24-B560-25DD2E5D4576}"/>
    <hyperlink ref="C22" location="timeOnAirTimerId!C1" display="timeOnAirTimerId" xr:uid="{C961CCCE-77F5-46F0-AFC7-A12D88E75936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Arkusz8.fill_in_LoRa_Txdone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RADIO_TxDone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B457A-F78B-4A5B-ADFE-11D9EFECE114}">
  <sheetPr codeName="Arkusz6"/>
  <dimension ref="B1:J78"/>
  <sheetViews>
    <sheetView showZeros="0" workbookViewId="0">
      <selection activeCell="C22" sqref="C22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12</v>
      </c>
      <c r="I1" s="2" t="s">
        <v>3</v>
      </c>
    </row>
    <row r="3" spans="2:10" x14ac:dyDescent="0.25">
      <c r="B3" t="e">
        <f>#REF!</f>
        <v>#REF!</v>
      </c>
      <c r="C3" t="str">
        <f>LoRa_Send_Header!C3</f>
        <v>LoRa_transmitStatus</v>
      </c>
      <c r="D3" s="6" t="s">
        <v>11</v>
      </c>
      <c r="E3"/>
      <c r="F3">
        <f>LoRa_Send_Header!F3</f>
        <v>0</v>
      </c>
      <c r="G3" t="str">
        <f>LoRa_Send_Header!G3</f>
        <v>LoRaMacState_t</v>
      </c>
      <c r="H3" t="str">
        <f>LoRa_Send_Header!H3</f>
        <v>LoRa_transmitStatus</v>
      </c>
      <c r="I3" s="1" t="s">
        <v>11</v>
      </c>
      <c r="J3" t="e">
        <f>#REF!</f>
        <v>#REF!</v>
      </c>
    </row>
    <row r="4" spans="2:10" x14ac:dyDescent="0.25">
      <c r="B4" t="e">
        <f>#REF!</f>
        <v>#REF!</v>
      </c>
      <c r="C4" t="str">
        <f>LoRa_Send_Header!C4</f>
        <v>LoRa_StatusDanych</v>
      </c>
      <c r="D4" s="2" t="str">
        <f>LoRa_Send_Header!D4</f>
        <v>LoRa_transmiting</v>
      </c>
      <c r="E4"/>
      <c r="F4">
        <f>LoRa_Send_Header!F4</f>
        <v>0</v>
      </c>
      <c r="G4" t="str">
        <f>LoRa_Send_Header!G4</f>
        <v>LoRaStatus_t</v>
      </c>
      <c r="H4" t="str">
        <f>LoRa_Send_Header!H4</f>
        <v>LoRa_StatusDanych</v>
      </c>
      <c r="I4" t="str">
        <f>LoRa_Send_Header!I4</f>
        <v>LoRa_transmiting</v>
      </c>
      <c r="J4" t="e">
        <f>#REF!</f>
        <v>#REF!</v>
      </c>
    </row>
    <row r="5" spans="2:10" x14ac:dyDescent="0.25">
      <c r="B5" t="e">
        <f>#REF!</f>
        <v>#REF!</v>
      </c>
      <c r="C5" t="str">
        <f>LoRa_Send_Header!C5</f>
        <v>flags</v>
      </c>
      <c r="D5" s="8" t="s">
        <v>66</v>
      </c>
      <c r="E5"/>
      <c r="F5">
        <f>LoRa_Send_Header!F5</f>
        <v>0</v>
      </c>
      <c r="G5" t="str">
        <f>LoRa_Send_Header!G5</f>
        <v>bool</v>
      </c>
      <c r="H5" t="str">
        <f>LoRa_Send_Header!H5</f>
        <v>LoRa_initialised</v>
      </c>
      <c r="I5" t="str">
        <f>LoRa_Send_Header!I5</f>
        <v>ENABLED</v>
      </c>
      <c r="J5" t="e">
        <f>#REF!</f>
        <v>#REF!</v>
      </c>
    </row>
    <row r="6" spans="2:10" x14ac:dyDescent="0.25">
      <c r="B6" t="e">
        <f>#REF!</f>
        <v>#REF!</v>
      </c>
      <c r="C6">
        <f>LoRa_Send_Header!C6</f>
        <v>0</v>
      </c>
      <c r="D6" s="2">
        <f>LoRa_Send_Header!D6</f>
        <v>0</v>
      </c>
      <c r="E6">
        <f>LoRa_Send_Header!E6</f>
        <v>0</v>
      </c>
      <c r="F6">
        <f>LoRa_Send_Header!F6</f>
        <v>0</v>
      </c>
      <c r="G6" t="str">
        <f>LoRa_Send_Header!G6</f>
        <v>FCnt_t</v>
      </c>
      <c r="H6" t="str">
        <f>LoRa_Send_Header!H6</f>
        <v>LoRa_Counter</v>
      </c>
      <c r="I6" t="str">
        <f>LoRa_Send_Header!I6</f>
        <v>++</v>
      </c>
      <c r="J6" t="e">
        <f>#REF!</f>
        <v>#REF!</v>
      </c>
    </row>
    <row r="7" spans="2:10" x14ac:dyDescent="0.25">
      <c r="B7" t="e">
        <f>#REF!</f>
        <v>#REF!</v>
      </c>
      <c r="C7" s="16"/>
      <c r="D7" s="25"/>
      <c r="E7" s="17"/>
      <c r="F7" s="18"/>
      <c r="G7" t="str">
        <f>LoRa_Send_Header!G7</f>
        <v>uint8_t</v>
      </c>
      <c r="H7" t="str">
        <f>LoRa_Send_Header!H7</f>
        <v>LoRa_Addres</v>
      </c>
      <c r="I7" t="str">
        <f>LoRa_Send_Header!I7</f>
        <v>LoRaDeviceAddress</v>
      </c>
      <c r="J7" t="e">
        <f>#REF!</f>
        <v>#REF!</v>
      </c>
    </row>
    <row r="8" spans="2:10" x14ac:dyDescent="0.25">
      <c r="B8" t="e">
        <f>#REF!</f>
        <v>#REF!</v>
      </c>
      <c r="C8" s="19"/>
      <c r="D8" s="26"/>
      <c r="E8" s="20"/>
      <c r="F8" s="21"/>
      <c r="G8" t="str">
        <f>LoRa_Send_Header!G8</f>
        <v>uint8_t</v>
      </c>
      <c r="H8" t="str">
        <f>LoRa_Send_Header!H8</f>
        <v>LoRa_TimerHandshaking</v>
      </c>
      <c r="I8" s="12" t="s">
        <v>66</v>
      </c>
      <c r="J8" t="e">
        <f>#REF!</f>
        <v>#REF!</v>
      </c>
    </row>
    <row r="9" spans="2:10" x14ac:dyDescent="0.25">
      <c r="B9" s="3" t="s">
        <v>138</v>
      </c>
      <c r="C9" s="19"/>
      <c r="D9" s="26"/>
      <c r="E9" s="20"/>
      <c r="F9" s="21"/>
      <c r="G9" t="str">
        <f>LoRa_Send_Header!G9</f>
        <v>uint8_t</v>
      </c>
      <c r="H9" t="str">
        <f>LoRa_Send_Header!H9</f>
        <v>LoRa_TimerRetransmit</v>
      </c>
      <c r="I9" s="1" t="s">
        <v>168</v>
      </c>
      <c r="J9" t="e">
        <f>#REF!</f>
        <v>#REF!</v>
      </c>
    </row>
    <row r="10" spans="2:10" x14ac:dyDescent="0.25">
      <c r="B10" s="3" t="s">
        <v>13</v>
      </c>
      <c r="C10" s="19"/>
      <c r="D10" s="26"/>
      <c r="E10" s="20"/>
      <c r="F10" s="21"/>
      <c r="G10" t="str">
        <f>LoRa_Send_Header!G10</f>
        <v>uint8_t</v>
      </c>
      <c r="H10" t="str">
        <f>LoRa_Send_Header!H10</f>
        <v>LoRa_TimerWaitAck</v>
      </c>
      <c r="I10" s="12" t="s">
        <v>66</v>
      </c>
      <c r="J10" t="e">
        <f>#REF!</f>
        <v>#REF!</v>
      </c>
    </row>
    <row r="11" spans="2:10" x14ac:dyDescent="0.25">
      <c r="B11" s="3" t="s">
        <v>156</v>
      </c>
      <c r="C11" s="19"/>
      <c r="D11" s="26"/>
      <c r="E11" s="20"/>
      <c r="F11" s="21"/>
      <c r="G11" t="str">
        <f>LoRa_Send_Header!G11</f>
        <v>uint8_t</v>
      </c>
      <c r="H11" t="str">
        <f>LoRa_Send_Header!H11</f>
        <v>LoRa_HeaderBufor</v>
      </c>
      <c r="I11" t="str">
        <f>LoRa_Send_Header!I11</f>
        <v>LoRa_Addres, nxt_channel</v>
      </c>
      <c r="J11" t="e">
        <f>#REF!</f>
        <v>#REF!</v>
      </c>
    </row>
    <row r="12" spans="2:10" x14ac:dyDescent="0.25">
      <c r="B12" s="3" t="s">
        <v>165</v>
      </c>
      <c r="C12" s="19"/>
      <c r="D12" s="26"/>
      <c r="E12" s="20"/>
      <c r="F12" s="21"/>
      <c r="G12" t="str">
        <f>LoRa_Send_Header!G12</f>
        <v>uint8_t</v>
      </c>
      <c r="H12" t="str">
        <f>LoRa_Send_Header!H12</f>
        <v>LoRa_HeaderLength</v>
      </c>
      <c r="I12" t="str">
        <f>LoRa_Send_Header!I12</f>
        <v>bufferHeadIndex</v>
      </c>
      <c r="J12" t="e">
        <f>#REF!</f>
        <v>#REF!</v>
      </c>
    </row>
    <row r="13" spans="2:10" x14ac:dyDescent="0.25">
      <c r="B13" t="e">
        <f>#REF!</f>
        <v>#REF!</v>
      </c>
      <c r="C13" s="19"/>
      <c r="D13" s="26"/>
      <c r="E13" s="20"/>
      <c r="F13" s="21"/>
      <c r="G13" t="str">
        <f>LoRa_Send_Header!G13</f>
        <v>uint8_t</v>
      </c>
      <c r="H13" t="str">
        <f>LoRa_Send_Header!H13</f>
        <v>LoRa_Bufor</v>
      </c>
      <c r="I13" t="str">
        <f>LoRa_Send_Header!I13</f>
        <v>bufferIndex, nxt_channel, data, CRC</v>
      </c>
      <c r="J13" t="e">
        <f>#REF!</f>
        <v>#REF!</v>
      </c>
    </row>
    <row r="14" spans="2:10" x14ac:dyDescent="0.25">
      <c r="B14" t="e">
        <f>#REF!</f>
        <v>#REF!</v>
      </c>
      <c r="C14" s="19"/>
      <c r="D14" s="26"/>
      <c r="E14" s="20"/>
      <c r="F14" s="21"/>
      <c r="G14" t="str">
        <f>LoRa_Send_Header!G14</f>
        <v>uint8_t</v>
      </c>
      <c r="H14" t="str">
        <f>LoRa_Send_Header!H14</f>
        <v>LoRa_BuforLength</v>
      </c>
      <c r="I14" t="str">
        <f>LoRa_Send_Header!I14</f>
        <v>bufferIndex</v>
      </c>
      <c r="J14" t="e">
        <f>#REF!</f>
        <v>#REF!</v>
      </c>
    </row>
    <row r="15" spans="2:10" x14ac:dyDescent="0.25">
      <c r="B15" t="e">
        <f>#REF!</f>
        <v>#REF!</v>
      </c>
      <c r="C15" s="19"/>
      <c r="D15" s="26"/>
      <c r="E15" s="20"/>
      <c r="F15" s="21"/>
      <c r="G15" t="str">
        <f>LoRa_Send_Header!G15</f>
        <v>uint8_t</v>
      </c>
      <c r="H15" t="str">
        <f>LoRa_Send_Header!H15</f>
        <v>LoRa_Command</v>
      </c>
      <c r="I15">
        <f>LoRa_Send_Header!I15</f>
        <v>0</v>
      </c>
      <c r="J15" t="e">
        <f>#REF!</f>
        <v>#REF!</v>
      </c>
    </row>
    <row r="16" spans="2:10" x14ac:dyDescent="0.25">
      <c r="B16" t="e">
        <f>#REF!</f>
        <v>#REF!</v>
      </c>
      <c r="C16" s="19"/>
      <c r="D16" s="26"/>
      <c r="E16" s="20"/>
      <c r="F16" s="21"/>
      <c r="G16" t="str">
        <f>LoRa_Send_Header!G16</f>
        <v>uint8_t</v>
      </c>
      <c r="H16" t="str">
        <f>LoRa_Send_Header!H16</f>
        <v>LoRa_maxChannels</v>
      </c>
      <c r="I16" t="str">
        <f>LoRa_Send_Header!I16</f>
        <v>MAX_EU_SINGLE_BAND_CHANNELS</v>
      </c>
      <c r="J16" t="e">
        <f>#REF!</f>
        <v>#REF!</v>
      </c>
    </row>
    <row r="17" spans="2:10" x14ac:dyDescent="0.25">
      <c r="B17" t="e">
        <f>#REF!</f>
        <v>#REF!</v>
      </c>
      <c r="C17" s="19"/>
      <c r="D17" s="26"/>
      <c r="E17" s="20"/>
      <c r="F17" s="21"/>
      <c r="G17" t="str">
        <f>LoRa_Send_Header!G17</f>
        <v>uint8_t</v>
      </c>
      <c r="H17" t="str">
        <f>LoRa_Send_Header!H17</f>
        <v>LoRa_lastUsedChannelIndex</v>
      </c>
      <c r="I17" t="str">
        <f>LoRa_Send_Header!I17</f>
        <v>channelRx</v>
      </c>
      <c r="J17" t="e">
        <f>#REF!</f>
        <v>#REF!</v>
      </c>
    </row>
    <row r="18" spans="2:10" x14ac:dyDescent="0.25">
      <c r="B18" t="e">
        <f>#REF!</f>
        <v>#REF!</v>
      </c>
      <c r="C18" s="19"/>
      <c r="D18" s="26"/>
      <c r="E18" s="20"/>
      <c r="F18" s="21"/>
      <c r="G18" t="str">
        <f>LoRa_Send_Header!G18</f>
        <v>ReceiveWindowParameters_t</v>
      </c>
      <c r="H18" t="str">
        <f>LoRa_Send_Header!H18</f>
        <v>LoRa_ch0_params.frequency</v>
      </c>
      <c r="I18" t="str">
        <f>LoRa_Send_Header!I18</f>
        <v>LoRa_CH0_frequency</v>
      </c>
      <c r="J18" t="e">
        <f>#REF!</f>
        <v>#REF!</v>
      </c>
    </row>
    <row r="19" spans="2:10" x14ac:dyDescent="0.25">
      <c r="B19" t="e">
        <f>#REF!</f>
        <v>#REF!</v>
      </c>
      <c r="C19" s="19"/>
      <c r="D19" s="26"/>
      <c r="E19" s="20"/>
      <c r="F19" s="21"/>
      <c r="G19">
        <f>LoRa_Send_Header!G19</f>
        <v>0</v>
      </c>
      <c r="H19" t="str">
        <f>LoRa_Send_Header!H19</f>
        <v>LoRa_ch0_params.datarate</v>
      </c>
      <c r="I19" t="str">
        <f>LoRa_Send_Header!I19</f>
        <v>LoRa_CH0_datarate</v>
      </c>
      <c r="J19" t="e">
        <f>#REF!</f>
        <v>#REF!</v>
      </c>
    </row>
    <row r="20" spans="2:10" x14ac:dyDescent="0.25">
      <c r="B20" t="e">
        <f>#REF!</f>
        <v>#REF!</v>
      </c>
      <c r="C20" s="19"/>
      <c r="D20" s="26"/>
      <c r="E20" s="20"/>
      <c r="F20" s="21"/>
      <c r="G20" t="str">
        <f>LoRa_Send_Header!G20</f>
        <v>ReceiveWindowParameters_t</v>
      </c>
      <c r="H20" t="str">
        <f>LoRa_Send_Header!H20</f>
        <v>LoRa_receiveChannelParameters.frequency</v>
      </c>
      <c r="I20" t="str">
        <f>LoRa_Send_Header!I20</f>
        <v>LoRa_Channels[channelRxIndex].frequency</v>
      </c>
      <c r="J20" t="e">
        <f>#REF!</f>
        <v>#REF!</v>
      </c>
    </row>
    <row r="21" spans="2:10" x14ac:dyDescent="0.25">
      <c r="B21" t="e">
        <f>#REF!</f>
        <v>#REF!</v>
      </c>
      <c r="C21" s="19"/>
      <c r="D21" s="26"/>
      <c r="E21" s="20"/>
      <c r="F21" s="21"/>
      <c r="G21">
        <f>LoRa_Send_Header!G21</f>
        <v>0</v>
      </c>
      <c r="H21" t="str">
        <f>LoRa_Send_Header!H21</f>
        <v>LoRa_receiveChannelParameters.dataRate</v>
      </c>
      <c r="I21" t="str">
        <f>LoRa_Send_Header!I21</f>
        <v>LoRa_currentDataRate</v>
      </c>
      <c r="J21" t="e">
        <f>#REF!</f>
        <v>#REF!</v>
      </c>
    </row>
    <row r="22" spans="2:10" x14ac:dyDescent="0.25">
      <c r="B22" t="e">
        <f>#REF!</f>
        <v>#REF!</v>
      </c>
      <c r="C22" s="29" t="s">
        <v>167</v>
      </c>
      <c r="D22" s="26"/>
      <c r="E22" s="20"/>
      <c r="F22" s="21"/>
      <c r="G22" t="str">
        <f>LoRa_Send_Header!G22</f>
        <v>ReceiveWindowParameters_t</v>
      </c>
      <c r="H22" t="str">
        <f>LoRa_Send_Header!H22</f>
        <v>LoRa_sendChannelParameters.frequency</v>
      </c>
      <c r="I22" t="str">
        <f>LoRa_Send_Header!I22</f>
        <v>LoRa_Channels[channelRxIndex].frequency</v>
      </c>
      <c r="J22" t="e">
        <f>#REF!</f>
        <v>#REF!</v>
      </c>
    </row>
    <row r="23" spans="2:10" x14ac:dyDescent="0.25">
      <c r="B23" t="e">
        <f>#REF!</f>
        <v>#REF!</v>
      </c>
      <c r="C23" s="19"/>
      <c r="D23" s="26"/>
      <c r="E23" s="20"/>
      <c r="F23" s="21"/>
      <c r="G23">
        <f>LoRa_Send_Header!G23</f>
        <v>0</v>
      </c>
      <c r="H23" t="str">
        <f>LoRa_Send_Header!H23</f>
        <v>LoRa_sendChannelParameters.dataRate</v>
      </c>
      <c r="I23" t="str">
        <f>LoRa_Send_Header!I23</f>
        <v>LoRa_currentDataRate</v>
      </c>
      <c r="J23" t="e">
        <f>#REF!</f>
        <v>#REF!</v>
      </c>
    </row>
    <row r="24" spans="2:10" x14ac:dyDescent="0.25">
      <c r="B24" t="e">
        <f>#REF!</f>
        <v>#REF!</v>
      </c>
      <c r="C24" s="22"/>
      <c r="D24" s="27"/>
      <c r="E24" s="23"/>
      <c r="F24" s="24"/>
      <c r="G24" t="str">
        <f>LoRa_Send_Header!G24</f>
        <v>uint8_t</v>
      </c>
      <c r="H24" t="str">
        <f>LoRa_Send_Header!H24</f>
        <v>LoRa_txPower</v>
      </c>
      <c r="I24">
        <f>LoRa_Send_Header!I24</f>
        <v>1</v>
      </c>
      <c r="J24" t="e">
        <f>#REF!</f>
        <v>#REF!</v>
      </c>
    </row>
    <row r="25" spans="2:10" x14ac:dyDescent="0.25">
      <c r="B25" t="e">
        <f>#REF!</f>
        <v>#REF!</v>
      </c>
      <c r="C25" t="str">
        <f>LoRa_Send_Header!C25</f>
        <v>DATA</v>
      </c>
      <c r="D25" s="2" t="str">
        <f>LoRa_Send_Header!D25</f>
        <v>LoRa_Addres, nxt_channel</v>
      </c>
      <c r="E25">
        <f>LoRa_Send_Header!E25</f>
        <v>0</v>
      </c>
      <c r="F25">
        <f>LoRa_Send_Header!F25</f>
        <v>0</v>
      </c>
      <c r="G25" t="str">
        <f>LoRa_Send_Header!G25</f>
        <v>uint8_t</v>
      </c>
      <c r="H25" t="str">
        <f>LoRa_Send_Header!H25</f>
        <v>LoRa_syncWord</v>
      </c>
      <c r="I25" t="str">
        <f>LoRa_Send_Header!I25</f>
        <v>0x34</v>
      </c>
      <c r="J25" t="e">
        <f>#REF!</f>
        <v>#REF!</v>
      </c>
    </row>
    <row r="26" spans="2:10" x14ac:dyDescent="0.25">
      <c r="B26" t="e">
        <f>#REF!</f>
        <v>#REF!</v>
      </c>
      <c r="C26" t="str">
        <f>LoRa_Send_Header!C26</f>
        <v>mode</v>
      </c>
      <c r="D26" s="6" t="s">
        <v>124</v>
      </c>
      <c r="E26">
        <f>LoRa_Send_Header!E26</f>
        <v>0</v>
      </c>
      <c r="F26">
        <f>LoRa_Send_Header!F26</f>
        <v>0</v>
      </c>
      <c r="G26" t="str">
        <f>LoRa_Send_Header!G26</f>
        <v>uint8_t</v>
      </c>
      <c r="H26" t="str">
        <f>LoRa_Send_Header!H26</f>
        <v>LoRa_batteryLevel</v>
      </c>
      <c r="I26" t="str">
        <f>LoRa_Send_Header!I26</f>
        <v>BATTERY_LEVEL_INVALID</v>
      </c>
      <c r="J26" t="e">
        <f>#REF!</f>
        <v>#REF!</v>
      </c>
    </row>
    <row r="27" spans="2:10" x14ac:dyDescent="0.25">
      <c r="B27" t="e">
        <f>#REF!</f>
        <v>#REF!</v>
      </c>
      <c r="C27" t="str">
        <f>LoRa_Send_Header!C27</f>
        <v>modulation</v>
      </c>
      <c r="D27" s="2" t="str">
        <f>LoRa_Send_Header!D27</f>
        <v>modulation[LoRa_ch0_params.dataRate]</v>
      </c>
      <c r="E27">
        <f>LoRa_Send_Header!E27</f>
        <v>0</v>
      </c>
      <c r="F27">
        <f>LoRa_Send_Header!F27</f>
        <v>0</v>
      </c>
      <c r="G27" t="str">
        <f>LoRa_Send_Header!G27</f>
        <v>IsmBand_t</v>
      </c>
      <c r="H27" t="str">
        <f>LoRa_Send_Header!H27</f>
        <v>LoRa_ismBand</v>
      </c>
      <c r="I27" t="str">
        <f>LoRa_Send_Header!I27</f>
        <v>ISM_EU868</v>
      </c>
      <c r="J27" t="e">
        <f>#REF!</f>
        <v>#REF!</v>
      </c>
    </row>
    <row r="28" spans="2:10" x14ac:dyDescent="0.25">
      <c r="B28" t="e">
        <f>#REF!</f>
        <v>#REF!</v>
      </c>
      <c r="C28" t="str">
        <f>LoRa_Send_Header!C28</f>
        <v>frequency</v>
      </c>
      <c r="D28" s="2" t="str">
        <f>LoRa_Send_Header!D28</f>
        <v>LoRa_ch0_params.frequency</v>
      </c>
      <c r="E28">
        <f>LoRa_Send_Header!E28</f>
        <v>0</v>
      </c>
      <c r="F28">
        <f>LoRa_Send_Header!F28</f>
        <v>0</v>
      </c>
      <c r="G28" t="str">
        <f>LoRa_Send_Header!G28</f>
        <v>uint8_t</v>
      </c>
      <c r="H28" t="str">
        <f>LoRa_Send_Header!H28</f>
        <v>LoRa_currentDataRate</v>
      </c>
      <c r="I28" t="str">
        <f>LoRa_Send_Header!I28</f>
        <v>DR0</v>
      </c>
      <c r="J28" t="e">
        <f>#REF!</f>
        <v>#REF!</v>
      </c>
    </row>
    <row r="29" spans="2:10" x14ac:dyDescent="0.25">
      <c r="B29" t="e">
        <f>#REF!</f>
        <v>#REF!</v>
      </c>
      <c r="C29" t="str">
        <f>LoRa_Send_Header!C29</f>
        <v>payload</v>
      </c>
      <c r="D29" s="2" t="str">
        <f>LoRa_Send_Header!D29</f>
        <v>bufferHeadIndex</v>
      </c>
      <c r="E29">
        <f>LoRa_Send_Header!E29</f>
        <v>0</v>
      </c>
      <c r="F29">
        <f>LoRa_Send_Header!F29</f>
        <v>0</v>
      </c>
      <c r="G29" t="str">
        <f>LoRa_Send_Header!G29</f>
        <v>uint8_t</v>
      </c>
      <c r="H29" t="str">
        <f>LoRa_Send_Header!H29</f>
        <v>LoRa_minDataRate</v>
      </c>
      <c r="I29" t="str">
        <f>LoRa_Send_Header!I29</f>
        <v>DR0</v>
      </c>
      <c r="J29" t="e">
        <f>#REF!</f>
        <v>#REF!</v>
      </c>
    </row>
    <row r="30" spans="2:10" x14ac:dyDescent="0.25">
      <c r="B30" t="e">
        <f>#REF!</f>
        <v>#REF!</v>
      </c>
      <c r="C30" t="str">
        <f>LoRa_Send_Header!C30</f>
        <v>power</v>
      </c>
      <c r="D30" s="2" t="str">
        <f>LoRa_Send_Header!D30</f>
        <v>txPower868[LoRa_txPower]</v>
      </c>
      <c r="E30">
        <f>LoRa_Send_Header!E30</f>
        <v>0</v>
      </c>
      <c r="F30">
        <f>LoRa_Send_Header!F30</f>
        <v>0</v>
      </c>
      <c r="G30" t="str">
        <f>LoRa_Send_Header!G30</f>
        <v>uint8_t</v>
      </c>
      <c r="H30" t="str">
        <f>LoRa_Send_Header!H30</f>
        <v>LoRa_maxDataRate</v>
      </c>
      <c r="I30" t="str">
        <f>LoRa_Send_Header!I30</f>
        <v>DR7</v>
      </c>
      <c r="J30" t="e">
        <f>#REF!</f>
        <v>#REF!</v>
      </c>
    </row>
    <row r="31" spans="2:10" x14ac:dyDescent="0.25">
      <c r="B31" t="e">
        <f>#REF!</f>
        <v>#REF!</v>
      </c>
      <c r="C31" t="str">
        <f>LoRa_Send_Header!C31</f>
        <v>SpreadingFactor</v>
      </c>
      <c r="D31" s="2" t="str">
        <f>LoRa_Send_Header!D31</f>
        <v>spreadingFactor[LoRa_ch0_params.dataRate]</v>
      </c>
      <c r="E31">
        <f>LoRa_Send_Header!E31</f>
        <v>0</v>
      </c>
      <c r="F31">
        <f>LoRa_Send_Header!F31</f>
        <v>0</v>
      </c>
      <c r="G31" t="str">
        <f>LoRa_Send_Header!G31</f>
        <v>uint8_t</v>
      </c>
      <c r="H31" t="str">
        <f>LoRa_Send_Header!H31</f>
        <v>LoRa_nextUsedChannel</v>
      </c>
      <c r="I31">
        <f>LoRa_Send_Header!I31</f>
        <v>0</v>
      </c>
      <c r="J31" t="e">
        <f>#REF!</f>
        <v>#REF!</v>
      </c>
    </row>
    <row r="32" spans="2:10" x14ac:dyDescent="0.25">
      <c r="B32" t="e">
        <f>#REF!</f>
        <v>#REF!</v>
      </c>
      <c r="C32" t="str">
        <f>LoRa_Send_Header!C32</f>
        <v>Bandwidth</v>
      </c>
      <c r="D32" s="2" t="str">
        <f>LoRa_Send_Header!D32</f>
        <v>bandwidth[LoRa_ch0_params.dataRate]</v>
      </c>
      <c r="E32">
        <f>LoRa_Send_Header!E32</f>
        <v>0</v>
      </c>
      <c r="F32">
        <f>LoRa_Send_Header!F32</f>
        <v>0</v>
      </c>
      <c r="G32">
        <f>LoRa_Send_Header!G32</f>
        <v>0</v>
      </c>
      <c r="H32">
        <f>LoRa_Send_Header!H32</f>
        <v>0</v>
      </c>
      <c r="I32">
        <f>LoRa_Send_Header!I32</f>
        <v>0</v>
      </c>
      <c r="J32">
        <f>LoRa_Send_Header!J32</f>
        <v>0</v>
      </c>
    </row>
    <row r="33" spans="2:10" x14ac:dyDescent="0.25">
      <c r="B33" t="e">
        <f>#REF!</f>
        <v>#REF!</v>
      </c>
      <c r="C33" t="str">
        <f>LoRa_Send_Header!C33</f>
        <v>SyncWord</v>
      </c>
      <c r="D33" s="2" t="str">
        <f>LoRa_Send_Header!D33</f>
        <v>LoRa_syncWord</v>
      </c>
      <c r="E33">
        <f>LoRa_Send_Header!E33</f>
        <v>0</v>
      </c>
      <c r="F33">
        <f>LoRa_Send_Header!F33</f>
        <v>0</v>
      </c>
      <c r="G33">
        <f>LoRa_Send_Header!G33</f>
        <v>0</v>
      </c>
      <c r="H33">
        <f>LoRa_Send_Header!H33</f>
        <v>0</v>
      </c>
      <c r="I33">
        <f>LoRa_Send_Header!I33</f>
        <v>0</v>
      </c>
      <c r="J33">
        <f>LoRa_Send_Header!J33</f>
        <v>0</v>
      </c>
    </row>
    <row r="34" spans="2:10" x14ac:dyDescent="0.25">
      <c r="B34" t="e">
        <f>#REF!</f>
        <v>#REF!</v>
      </c>
      <c r="C34" t="str">
        <f>LoRa_Send_Header!C34</f>
        <v>CRC</v>
      </c>
      <c r="D34" s="2" t="str">
        <f>LoRa_Send_Header!D34</f>
        <v>ENABLED</v>
      </c>
      <c r="E34">
        <f>LoRa_Send_Header!E34</f>
        <v>0</v>
      </c>
      <c r="F34">
        <f>LoRa_Send_Header!F34</f>
        <v>0</v>
      </c>
      <c r="G34" t="str">
        <f>LoRa_Send_Header!G34</f>
        <v>uint32_t</v>
      </c>
      <c r="H34" t="str">
        <f>LoRa_Send_Header!H34</f>
        <v>frequency</v>
      </c>
      <c r="I34" t="str">
        <f>LoRa_Send_Header!I34</f>
        <v>LoRa_ch0_params.frequency</v>
      </c>
      <c r="J34">
        <f>LoRa_Send_Header!J34</f>
        <v>0</v>
      </c>
    </row>
    <row r="35" spans="2:10" x14ac:dyDescent="0.25">
      <c r="B35" t="e">
        <f>#REF!</f>
        <v>#REF!</v>
      </c>
      <c r="C35" t="str">
        <f>LoRa_Send_Header!C35</f>
        <v>IQInverted</v>
      </c>
      <c r="D35" s="2" t="str">
        <f>LoRa_Send_Header!D35</f>
        <v>DISABLED</v>
      </c>
      <c r="E35">
        <f>LoRa_Send_Header!E35</f>
        <v>0</v>
      </c>
      <c r="F35">
        <f>LoRa_Send_Header!F35</f>
        <v>0</v>
      </c>
      <c r="G35" t="str">
        <f>LoRa_Send_Header!G35</f>
        <v>uint32_t</v>
      </c>
      <c r="H35" t="str">
        <f>LoRa_Send_Header!H35</f>
        <v>frequencyDeviation</v>
      </c>
      <c r="I35">
        <f>LoRa_Send_Header!I35</f>
        <v>25000</v>
      </c>
      <c r="J35">
        <f>LoRa_Send_Header!J35</f>
        <v>0</v>
      </c>
    </row>
    <row r="36" spans="2:10" x14ac:dyDescent="0.25">
      <c r="B36" t="e">
        <f>#REF!</f>
        <v>#REF!</v>
      </c>
      <c r="C36" t="str">
        <f>LoRa_Send_Header!C36</f>
        <v>HopPeriod</v>
      </c>
      <c r="D36" s="2" t="str">
        <f>LoRa_Send_Header!D36</f>
        <v>DISABLED</v>
      </c>
      <c r="E36">
        <f>LoRa_Send_Header!E36</f>
        <v>0</v>
      </c>
      <c r="F36">
        <f>LoRa_Send_Header!F36</f>
        <v>0</v>
      </c>
      <c r="G36" t="str">
        <f>LoRa_Send_Header!G36</f>
        <v>uint32_t</v>
      </c>
      <c r="H36" t="str">
        <f>LoRa_Send_Header!H36</f>
        <v>bitRate</v>
      </c>
      <c r="I36">
        <f>LoRa_Send_Header!I36</f>
        <v>50000</v>
      </c>
      <c r="J36">
        <f>LoRa_Send_Header!J36</f>
        <v>0</v>
      </c>
    </row>
    <row r="37" spans="2:10" x14ac:dyDescent="0.25">
      <c r="B37" t="e">
        <f>#REF!</f>
        <v>#REF!</v>
      </c>
      <c r="C37" t="str">
        <f>LoRa_Send_Header!C37</f>
        <v>errorCodingRate</v>
      </c>
      <c r="D37" s="2" t="str">
        <f>LoRa_Send_Header!D37</f>
        <v>CR_4_5</v>
      </c>
      <c r="E37">
        <f>LoRa_Send_Header!E37</f>
        <v>0</v>
      </c>
      <c r="F37">
        <f>LoRa_Send_Header!F37</f>
        <v>0</v>
      </c>
      <c r="G37" t="str">
        <f>LoRa_Send_Header!G37</f>
        <v>uint16_t</v>
      </c>
      <c r="H37" t="str">
        <f>LoRa_Send_Header!H37</f>
        <v>preambleLen</v>
      </c>
      <c r="I37">
        <f>LoRa_Send_Header!I37</f>
        <v>8</v>
      </c>
      <c r="J37">
        <f>LoRa_Send_Header!J37</f>
        <v>0</v>
      </c>
    </row>
    <row r="38" spans="2:10" x14ac:dyDescent="0.25">
      <c r="B38" t="e">
        <f>#REF!</f>
        <v>#REF!</v>
      </c>
      <c r="C38" t="str">
        <f>LoRa_Send_Header!C38</f>
        <v>implicitHeaderMode</v>
      </c>
      <c r="D38" s="2" t="str">
        <f>LoRa_Send_Header!D38</f>
        <v>0</v>
      </c>
      <c r="E38">
        <f>LoRa_Send_Header!E38</f>
        <v>0</v>
      </c>
      <c r="F38">
        <f>LoRa_Send_Header!F38</f>
        <v>0</v>
      </c>
      <c r="G38" t="str">
        <f>LoRa_Send_Header!G38</f>
        <v>uint8_t</v>
      </c>
      <c r="H38" t="str">
        <f>LoRa_Send_Header!H38</f>
        <v>syncWordLoRa</v>
      </c>
      <c r="I38" t="str">
        <f>LoRa_Send_Header!I38</f>
        <v>LoRa_syncWord</v>
      </c>
      <c r="J38">
        <f>LoRa_Send_Header!J38</f>
        <v>0</v>
      </c>
    </row>
    <row r="39" spans="2:10" x14ac:dyDescent="0.25">
      <c r="B39" t="e">
        <f>#REF!</f>
        <v>#REF!</v>
      </c>
      <c r="C39" t="str">
        <f>LoRa_Send_Header!C39</f>
        <v>preambleLen</v>
      </c>
      <c r="D39" s="2">
        <f>LoRa_Send_Header!D39</f>
        <v>8</v>
      </c>
      <c r="E39">
        <f>LoRa_Send_Header!E39</f>
        <v>0</v>
      </c>
      <c r="F39">
        <f>LoRa_Send_Header!F39</f>
        <v>0</v>
      </c>
      <c r="G39" t="str">
        <f>LoRa_Send_Header!G39</f>
        <v>uint8_t</v>
      </c>
      <c r="H39" t="str">
        <f>LoRa_Send_Header!H39</f>
        <v>syncWord</v>
      </c>
      <c r="I39" t="str">
        <f>LoRa_Send_Header!I39</f>
        <v>0xc1 0x94 0xc1</v>
      </c>
      <c r="J39">
        <f>LoRa_Send_Header!J39</f>
        <v>0</v>
      </c>
    </row>
    <row r="40" spans="2:10" x14ac:dyDescent="0.25">
      <c r="B40" t="e">
        <f>#REF!</f>
        <v>#REF!</v>
      </c>
      <c r="C40" t="str">
        <f>LoRa_Send_Header!C40</f>
        <v>symbolTimeout</v>
      </c>
      <c r="D40" s="2">
        <f>LoRa_Send_Header!D40</f>
        <v>4</v>
      </c>
      <c r="E40">
        <f>LoRa_Send_Header!E40</f>
        <v>0</v>
      </c>
      <c r="F40">
        <f>LoRa_Send_Header!F40</f>
        <v>0</v>
      </c>
      <c r="G40" t="str">
        <f>LoRa_Send_Header!G40</f>
        <v>uint8_t</v>
      </c>
      <c r="H40" t="str">
        <f>LoRa_Send_Header!H40</f>
        <v>syncWordLen</v>
      </c>
      <c r="I40">
        <f>LoRa_Send_Header!I40</f>
        <v>3</v>
      </c>
      <c r="J40">
        <f>LoRa_Send_Header!J40</f>
        <v>0</v>
      </c>
    </row>
    <row r="41" spans="2:10" x14ac:dyDescent="0.25">
      <c r="B41" t="e">
        <f>#REF!</f>
        <v>#REF!</v>
      </c>
      <c r="C41" t="str">
        <f>LoRa_Send_Header!C41</f>
        <v>FSKfreqDeviation</v>
      </c>
      <c r="D41" s="2">
        <f>LoRa_Send_Header!D41</f>
        <v>25000</v>
      </c>
      <c r="E41">
        <f>LoRa_Send_Header!E41</f>
        <v>0</v>
      </c>
      <c r="F41">
        <f>LoRa_Send_Header!F41</f>
        <v>0</v>
      </c>
      <c r="G41" t="str">
        <f>LoRa_Send_Header!G41</f>
        <v>RadioModulation_t</v>
      </c>
      <c r="H41" t="str">
        <f>LoRa_Send_Header!H41</f>
        <v>modulation</v>
      </c>
      <c r="I41" t="str">
        <f>LoRa_Send_Header!I41</f>
        <v>modulation[LoRa_ch0_params.dataRate]</v>
      </c>
      <c r="J41">
        <f>LoRa_Send_Header!J41</f>
        <v>0</v>
      </c>
    </row>
    <row r="42" spans="2:10" x14ac:dyDescent="0.25">
      <c r="B42" t="e">
        <f>#REF!</f>
        <v>#REF!</v>
      </c>
      <c r="C42" t="str">
        <f>LoRa_Send_Header!C42</f>
        <v>FSKBitRate</v>
      </c>
      <c r="D42" s="2">
        <f>LoRa_Send_Header!D42</f>
        <v>50000</v>
      </c>
      <c r="E42">
        <f>LoRa_Send_Header!E42</f>
        <v>0</v>
      </c>
      <c r="F42">
        <f>LoRa_Send_Header!F42</f>
        <v>0</v>
      </c>
      <c r="G42" t="str">
        <f>LoRa_Send_Header!G42</f>
        <v>RadioDataRate_t</v>
      </c>
      <c r="H42" t="str">
        <f>LoRa_Send_Header!H42</f>
        <v>dataRate</v>
      </c>
      <c r="I42" t="str">
        <f>LoRa_Send_Header!I42</f>
        <v>spreadingFactor[LoRa_ch0_params.dataRate]</v>
      </c>
      <c r="J42">
        <f>LoRa_Send_Header!J42</f>
        <v>0</v>
      </c>
    </row>
    <row r="43" spans="2:10" x14ac:dyDescent="0.25">
      <c r="B43" t="e">
        <f>#REF!</f>
        <v>#REF!</v>
      </c>
      <c r="C43" t="str">
        <f>LoRa_Send_Header!C43</f>
        <v>FSK_PREAMBLE</v>
      </c>
      <c r="D43" s="2">
        <f>LoRa_Send_Header!D43</f>
        <v>8</v>
      </c>
      <c r="E43">
        <f>LoRa_Send_Header!E43</f>
        <v>0</v>
      </c>
      <c r="F43">
        <f>LoRa_Send_Header!F43</f>
        <v>0</v>
      </c>
      <c r="G43" t="str">
        <f>LoRa_Send_Header!G43</f>
        <v>RadioLoRaBandWidth_t</v>
      </c>
      <c r="H43" t="str">
        <f>LoRa_Send_Header!H43</f>
        <v>bandWidth</v>
      </c>
      <c r="I43" t="str">
        <f>LoRa_Send_Header!I43</f>
        <v>bandwidth[LoRa_ch0_params.dataRate]</v>
      </c>
      <c r="J43">
        <f>LoRa_Send_Header!J43</f>
        <v>0</v>
      </c>
    </row>
    <row r="44" spans="2:10" x14ac:dyDescent="0.25">
      <c r="B44" t="e">
        <f>#REF!</f>
        <v>#REF!</v>
      </c>
      <c r="C44" t="str">
        <f>LoRa_Send_Header!C44</f>
        <v>fskDataShaping</v>
      </c>
      <c r="D44" s="2" t="str">
        <f>LoRa_Send_Header!D44</f>
        <v>FSK_SHAPING_GAUSS_BT_0_5</v>
      </c>
      <c r="E44">
        <f>LoRa_Send_Header!E44</f>
        <v>0</v>
      </c>
      <c r="F44">
        <f>LoRa_Send_Header!F44</f>
        <v>0</v>
      </c>
      <c r="G44" t="str">
        <f>LoRa_Send_Header!G44</f>
        <v>int8_t</v>
      </c>
      <c r="H44" t="str">
        <f>LoRa_Send_Header!H44</f>
        <v>outputPower</v>
      </c>
      <c r="I44" t="str">
        <f>LoRa_Send_Header!I44</f>
        <v>txPower868[LoRa_txPower]</v>
      </c>
      <c r="J44">
        <f>LoRa_Send_Header!J44</f>
        <v>0</v>
      </c>
    </row>
    <row r="45" spans="2:10" x14ac:dyDescent="0.25">
      <c r="B45" t="e">
        <f>#REF!</f>
        <v>#REF!</v>
      </c>
      <c r="C45">
        <f>LoRa_Send_Header!C45</f>
        <v>0</v>
      </c>
      <c r="D45" s="2">
        <f>LoRa_Send_Header!D45</f>
        <v>0</v>
      </c>
      <c r="E45">
        <f>LoRa_Send_Header!E45</f>
        <v>0</v>
      </c>
      <c r="F45">
        <f>LoRa_Send_Header!F45</f>
        <v>0</v>
      </c>
      <c r="G45" t="str">
        <f>LoRa_Send_Header!G45</f>
        <v>uint8_t</v>
      </c>
      <c r="H45" t="str">
        <f>LoRa_Send_Header!H45</f>
        <v>crcOn</v>
      </c>
      <c r="I45" t="str">
        <f>LoRa_Send_Header!I45</f>
        <v>ENABLED</v>
      </c>
      <c r="J45">
        <f>LoRa_Send_Header!J45</f>
        <v>0</v>
      </c>
    </row>
    <row r="46" spans="2:10" x14ac:dyDescent="0.25">
      <c r="B46" t="e">
        <f>#REF!</f>
        <v>#REF!</v>
      </c>
      <c r="C46">
        <f>LoRa_Send_Header!C46</f>
        <v>0</v>
      </c>
      <c r="D46" s="2">
        <f>LoRa_Send_Header!D46</f>
        <v>0</v>
      </c>
      <c r="E46">
        <f>LoRa_Send_Header!E46</f>
        <v>0</v>
      </c>
      <c r="F46">
        <f>LoRa_Send_Header!F46</f>
        <v>0</v>
      </c>
      <c r="G46" t="str">
        <f>LoRa_Send_Header!G46</f>
        <v>uint8_t</v>
      </c>
      <c r="H46" t="str">
        <f>LoRa_Send_Header!H46</f>
        <v>paBoost</v>
      </c>
      <c r="I46" t="str">
        <f>LoRa_Send_Header!I46</f>
        <v>0</v>
      </c>
      <c r="J46">
        <f>LoRa_Send_Header!J46</f>
        <v>0</v>
      </c>
    </row>
    <row r="47" spans="2:10" x14ac:dyDescent="0.25">
      <c r="B47" t="e">
        <f>#REF!</f>
        <v>#REF!</v>
      </c>
      <c r="C47">
        <f>LoRa_Send_Header!C47</f>
        <v>0</v>
      </c>
      <c r="D47" s="2">
        <f>LoRa_Send_Header!D47</f>
        <v>0</v>
      </c>
      <c r="E47">
        <f>LoRa_Send_Header!E47</f>
        <v>0</v>
      </c>
      <c r="F47">
        <f>LoRa_Send_Header!F47</f>
        <v>0</v>
      </c>
      <c r="G47" t="str">
        <f>LoRa_Send_Header!G47</f>
        <v>uint8_t</v>
      </c>
      <c r="H47" t="str">
        <f>LoRa_Send_Header!H47</f>
        <v>flags</v>
      </c>
      <c r="I47" s="12" t="s">
        <v>66</v>
      </c>
      <c r="J47" t="str">
        <f>LoRa_Send_Header!J47</f>
        <v>RADIO_FLAG_TRANSMITTING</v>
      </c>
    </row>
    <row r="48" spans="2:10" x14ac:dyDescent="0.25">
      <c r="B48" t="e">
        <f>#REF!</f>
        <v>#REF!</v>
      </c>
      <c r="C48">
        <f>LoRa_Send_Header!C48</f>
        <v>0</v>
      </c>
      <c r="D48" s="2">
        <f>LoRa_Send_Header!D48</f>
        <v>0</v>
      </c>
      <c r="E48">
        <f>LoRa_Send_Header!E48</f>
        <v>0</v>
      </c>
      <c r="F48">
        <f>LoRa_Send_Header!F48</f>
        <v>0</v>
      </c>
      <c r="G48" t="str">
        <f>LoRa_Send_Header!G48</f>
        <v>uint16_t</v>
      </c>
      <c r="H48" t="str">
        <f>LoRa_Send_Header!H48</f>
        <v>frequencyHopPeriod</v>
      </c>
      <c r="I48" t="str">
        <f>LoRa_Send_Header!I48</f>
        <v>DISABLED</v>
      </c>
      <c r="J48">
        <f>LoRa_Send_Header!J48</f>
        <v>0</v>
      </c>
    </row>
    <row r="49" spans="2:10" x14ac:dyDescent="0.25">
      <c r="B49" t="e">
        <f>#REF!</f>
        <v>#REF!</v>
      </c>
      <c r="C49">
        <f>LoRa_Send_Header!C49</f>
        <v>0</v>
      </c>
      <c r="D49" s="2">
        <f>LoRa_Send_Header!D49</f>
        <v>0</v>
      </c>
      <c r="E49">
        <f>LoRa_Send_Header!E49</f>
        <v>0</v>
      </c>
      <c r="F49">
        <f>LoRa_Send_Header!F49</f>
        <v>0</v>
      </c>
      <c r="G49" t="str">
        <f>LoRa_Send_Header!G49</f>
        <v>uint8_t</v>
      </c>
      <c r="H49" t="str">
        <f>LoRa_Send_Header!H49</f>
        <v>iqInverted</v>
      </c>
      <c r="I49" t="str">
        <f>LoRa_Send_Header!I49</f>
        <v>DISABLED</v>
      </c>
      <c r="J49">
        <f>LoRa_Send_Header!J49</f>
        <v>0</v>
      </c>
    </row>
    <row r="50" spans="2:10" x14ac:dyDescent="0.25">
      <c r="B50" t="e">
        <f>#REF!</f>
        <v>#REF!</v>
      </c>
      <c r="C50">
        <f>LoRa_Send_Header!C50</f>
        <v>0</v>
      </c>
      <c r="D50" s="2">
        <f>LoRa_Send_Header!D50</f>
        <v>0</v>
      </c>
      <c r="E50">
        <f>LoRa_Send_Header!E50</f>
        <v>0</v>
      </c>
      <c r="F50">
        <f>LoRa_Send_Header!F50</f>
        <v>0</v>
      </c>
      <c r="G50" t="str">
        <f>LoRa_Send_Header!G50</f>
        <v>RadioErrorCodingRate_t</v>
      </c>
      <c r="H50" t="str">
        <f>LoRa_Send_Header!H50</f>
        <v>errorCodingRate</v>
      </c>
      <c r="I50" t="str">
        <f>LoRa_Send_Header!I50</f>
        <v>CR_4_5</v>
      </c>
      <c r="J50">
        <f>LoRa_Send_Header!J50</f>
        <v>0</v>
      </c>
    </row>
    <row r="51" spans="2:10" x14ac:dyDescent="0.25">
      <c r="B51" t="e">
        <f>#REF!</f>
        <v>#REF!</v>
      </c>
      <c r="C51">
        <f>LoRa_Send_Header!C51</f>
        <v>0</v>
      </c>
      <c r="D51" s="2">
        <f>LoRa_Send_Header!D51</f>
        <v>0</v>
      </c>
      <c r="E51">
        <f>LoRa_Send_Header!E51</f>
        <v>0</v>
      </c>
      <c r="F51">
        <f>LoRa_Send_Header!F51</f>
        <v>0</v>
      </c>
      <c r="G51" t="str">
        <f>LoRa_Send_Header!G51</f>
        <v>uint8_t</v>
      </c>
      <c r="H51" t="str">
        <f>LoRa_Send_Header!H51</f>
        <v>implicitHeaderMode</v>
      </c>
      <c r="I51" t="str">
        <f>LoRa_Send_Header!I51</f>
        <v>0</v>
      </c>
      <c r="J51">
        <f>LoRa_Send_Header!J51</f>
        <v>0</v>
      </c>
    </row>
    <row r="52" spans="2:10" x14ac:dyDescent="0.25">
      <c r="B52" t="e">
        <f>#REF!</f>
        <v>#REF!</v>
      </c>
      <c r="C52">
        <f>LoRa_Send_Header!C52</f>
        <v>0</v>
      </c>
      <c r="D52" s="2">
        <f>LoRa_Send_Header!D52</f>
        <v>0</v>
      </c>
      <c r="E52">
        <f>LoRa_Send_Header!E52</f>
        <v>0</v>
      </c>
      <c r="F52">
        <f>LoRa_Send_Header!F52</f>
        <v>0</v>
      </c>
      <c r="G52">
        <f>LoRa_Send_Header!G52</f>
        <v>0</v>
      </c>
      <c r="H52">
        <f>LoRa_Send_Header!H52</f>
        <v>0</v>
      </c>
      <c r="I52">
        <f>LoRa_Send_Header!I52</f>
        <v>0</v>
      </c>
      <c r="J52">
        <f>LoRa_Send_Header!J52</f>
        <v>0</v>
      </c>
    </row>
    <row r="53" spans="2:10" x14ac:dyDescent="0.25">
      <c r="B53" t="e">
        <f>#REF!</f>
        <v>#REF!</v>
      </c>
      <c r="C53">
        <f>LoRa_Send_Header!C53</f>
        <v>0</v>
      </c>
      <c r="D53" s="2">
        <f>LoRa_Send_Header!D53</f>
        <v>0</v>
      </c>
      <c r="E53">
        <f>LoRa_Send_Header!E53</f>
        <v>0</v>
      </c>
      <c r="F53">
        <f>LoRa_Send_Header!F53</f>
        <v>0</v>
      </c>
      <c r="G53" t="str">
        <f>LoRa_Send_Header!G53</f>
        <v>uint8_t</v>
      </c>
      <c r="H53" t="str">
        <f>LoRa_Send_Header!H53</f>
        <v>dataBufferLen</v>
      </c>
      <c r="I53" t="str">
        <f>LoRa_Send_Header!I53</f>
        <v>0</v>
      </c>
      <c r="J53">
        <f>LoRa_Send_Header!J53</f>
        <v>0</v>
      </c>
    </row>
    <row r="54" spans="2:10" x14ac:dyDescent="0.25">
      <c r="B54" t="e">
        <f>#REF!</f>
        <v>#REF!</v>
      </c>
      <c r="C54">
        <f>LoRa_Send_Header!C54</f>
        <v>0</v>
      </c>
      <c r="D54" s="2">
        <f>LoRa_Send_Header!D54</f>
        <v>0</v>
      </c>
      <c r="E54">
        <f>LoRa_Send_Header!E54</f>
        <v>0</v>
      </c>
      <c r="F54">
        <f>LoRa_Send_Header!F54</f>
        <v>0</v>
      </c>
      <c r="G54" t="str">
        <f>LoRa_Send_Header!G54</f>
        <v>uint8_t *</v>
      </c>
      <c r="H54" t="str">
        <f>LoRa_Send_Header!H54</f>
        <v>dataBuffer</v>
      </c>
      <c r="I54" t="str">
        <f>LoRa_Send_Header!I54</f>
        <v>LoRa_radioBuffer</v>
      </c>
      <c r="J54">
        <f>LoRa_Send_Header!J54</f>
        <v>0</v>
      </c>
    </row>
    <row r="55" spans="2:10" x14ac:dyDescent="0.25">
      <c r="B55" t="e">
        <f>#REF!</f>
        <v>#REF!</v>
      </c>
      <c r="C55">
        <f>LoRa_Send_Header!C55</f>
        <v>0</v>
      </c>
      <c r="D55" s="2">
        <f>LoRa_Send_Header!D55</f>
        <v>0</v>
      </c>
      <c r="E55">
        <f>LoRa_Send_Header!E55</f>
        <v>0</v>
      </c>
      <c r="F55">
        <f>LoRa_Send_Header!F55</f>
        <v>0</v>
      </c>
      <c r="G55" t="str">
        <f>LoRa_Send_Header!G55</f>
        <v>uint8_t</v>
      </c>
      <c r="H55" t="str">
        <f>LoRa_Send_Header!H55</f>
        <v>timeOnAirTimerId</v>
      </c>
      <c r="I55" s="12" t="s">
        <v>66</v>
      </c>
      <c r="J55">
        <f>LoRa_Send_Header!J55</f>
        <v>0</v>
      </c>
    </row>
    <row r="56" spans="2:10" x14ac:dyDescent="0.25">
      <c r="B56" t="e">
        <f>#REF!</f>
        <v>#REF!</v>
      </c>
      <c r="C56">
        <f>LoRa_Send_Header!C56</f>
        <v>0</v>
      </c>
      <c r="D56" s="2">
        <f>LoRa_Send_Header!D56</f>
        <v>0</v>
      </c>
      <c r="E56">
        <f>LoRa_Send_Header!E56</f>
        <v>0</v>
      </c>
      <c r="F56">
        <f>LoRa_Send_Header!F56</f>
        <v>0</v>
      </c>
      <c r="G56" t="str">
        <f>LoRa_Send_Header!G56</f>
        <v>uint8_t</v>
      </c>
      <c r="H56" t="str">
        <f>LoRa_Send_Header!H56</f>
        <v>fskRxWindowTimerId</v>
      </c>
      <c r="I56" t="str">
        <f>LoRa_Send_Header!I56</f>
        <v>0</v>
      </c>
      <c r="J56" t="str">
        <f>LoRa_Send_Header!J56</f>
        <v>RADIO_RxFSKTimeout</v>
      </c>
    </row>
    <row r="57" spans="2:10" x14ac:dyDescent="0.25">
      <c r="B57" t="e">
        <f>#REF!</f>
        <v>#REF!</v>
      </c>
      <c r="C57">
        <f>LoRa_Send_Header!C57</f>
        <v>0</v>
      </c>
      <c r="D57" s="2">
        <f>LoRa_Send_Header!D57</f>
        <v>0</v>
      </c>
      <c r="E57">
        <f>LoRa_Send_Header!E57</f>
        <v>0</v>
      </c>
      <c r="F57">
        <f>LoRa_Send_Header!F57</f>
        <v>0</v>
      </c>
      <c r="G57" t="str">
        <f>LoRa_Send_Header!G57</f>
        <v>uint8_t</v>
      </c>
      <c r="H57" t="str">
        <f>LoRa_Send_Header!H57</f>
        <v>watchdogTimerId</v>
      </c>
      <c r="I57" s="12" t="s">
        <v>66</v>
      </c>
      <c r="J57" t="str">
        <f>LoRa_Send_Header!J57</f>
        <v>RADIO_WatchdogTimeout</v>
      </c>
    </row>
    <row r="58" spans="2:10" x14ac:dyDescent="0.25">
      <c r="B58" t="e">
        <f>#REF!</f>
        <v>#REF!</v>
      </c>
      <c r="C58">
        <f>LoRa_Send_Header!C58</f>
        <v>0</v>
      </c>
      <c r="D58" s="2">
        <f>LoRa_Send_Header!D58</f>
        <v>0</v>
      </c>
      <c r="E58">
        <f>LoRa_Send_Header!E58</f>
        <v>0</v>
      </c>
      <c r="F58">
        <f>LoRa_Send_Header!F58</f>
        <v>0</v>
      </c>
      <c r="G58" t="str">
        <f>LoRa_Send_Header!G58</f>
        <v>uint32_t</v>
      </c>
      <c r="H58" t="str">
        <f>LoRa_Send_Header!H58</f>
        <v>watchdogTimerTimeout</v>
      </c>
      <c r="I58" t="str">
        <f>LoRa_Send_Header!I58</f>
        <v>WATCHDOG_DEFAULT_TIME</v>
      </c>
      <c r="J58">
        <f>LoRa_Send_Header!J58</f>
        <v>0</v>
      </c>
    </row>
    <row r="59" spans="2:10" x14ac:dyDescent="0.25">
      <c r="B59" t="e">
        <f>#REF!</f>
        <v>#REF!</v>
      </c>
      <c r="C59">
        <f>LoRa_Send_Header!C59</f>
        <v>0</v>
      </c>
      <c r="D59" s="2">
        <f>LoRa_Send_Header!D59</f>
        <v>0</v>
      </c>
      <c r="E59">
        <f>LoRa_Send_Header!E59</f>
        <v>0</v>
      </c>
      <c r="F59">
        <f>LoRa_Send_Header!F59</f>
        <v>0</v>
      </c>
      <c r="G59" t="str">
        <f>LoRa_Send_Header!G59</f>
        <v>uint8_t</v>
      </c>
      <c r="H59" t="str">
        <f>LoRa_Send_Header!H59</f>
        <v>initialized</v>
      </c>
      <c r="I59">
        <f>LoRa_Send_Header!I59</f>
        <v>1</v>
      </c>
      <c r="J59">
        <f>LoRa_Send_Header!J59</f>
        <v>0</v>
      </c>
    </row>
    <row r="60" spans="2:10" x14ac:dyDescent="0.25">
      <c r="B60" t="e">
        <f>#REF!</f>
        <v>#REF!</v>
      </c>
      <c r="C60">
        <f>LoRa_Send_Header!C60</f>
        <v>0</v>
      </c>
      <c r="D60" s="2">
        <f>LoRa_Send_Header!D60</f>
        <v>0</v>
      </c>
      <c r="E60">
        <f>LoRa_Send_Header!E60</f>
        <v>0</v>
      </c>
      <c r="F60">
        <f>LoRa_Send_Header!F60</f>
        <v>0</v>
      </c>
      <c r="G60" t="str">
        <f>LoRa_Send_Header!G60</f>
        <v>uint32_t</v>
      </c>
      <c r="H60" t="str">
        <f>LoRa_Send_Header!H60</f>
        <v>fhssNextFrequency</v>
      </c>
      <c r="I60" t="str">
        <f>LoRa_Send_Header!I60</f>
        <v>NULL</v>
      </c>
      <c r="J60">
        <f>LoRa_Send_Header!J60</f>
        <v>0</v>
      </c>
    </row>
    <row r="61" spans="2:10" x14ac:dyDescent="0.25">
      <c r="B61" t="e">
        <f>#REF!</f>
        <v>#REF!</v>
      </c>
      <c r="C61">
        <f>LoRa_Send_Header!C61</f>
        <v>0</v>
      </c>
      <c r="D61" s="2">
        <f>LoRa_Send_Header!D61</f>
        <v>0</v>
      </c>
      <c r="E61">
        <f>LoRa_Send_Header!E61</f>
        <v>0</v>
      </c>
      <c r="F61">
        <f>LoRa_Send_Header!F61</f>
        <v>0</v>
      </c>
      <c r="G61" t="str">
        <f>LoRa_Send_Header!G61</f>
        <v>uint8_t</v>
      </c>
      <c r="H61" t="str">
        <f>LoRa_Send_Header!H61</f>
        <v>regVersion</v>
      </c>
      <c r="I61" t="str">
        <f>LoRa_Send_Header!I61</f>
        <v>REG_VERSION</v>
      </c>
      <c r="J61">
        <f>LoRa_Send_Header!J61</f>
        <v>0</v>
      </c>
    </row>
    <row r="62" spans="2:10" x14ac:dyDescent="0.25">
      <c r="B62" t="e">
        <f>#REF!</f>
        <v>#REF!</v>
      </c>
      <c r="C62">
        <f>LoRa_Send_Header!C62</f>
        <v>0</v>
      </c>
      <c r="D62" s="2">
        <f>LoRa_Send_Header!D62</f>
        <v>0</v>
      </c>
      <c r="E62">
        <f>LoRa_Send_Header!E62</f>
        <v>0</v>
      </c>
      <c r="F62">
        <f>LoRa_Send_Header!F62</f>
        <v>0</v>
      </c>
      <c r="G62" t="str">
        <f>LoRa_Send_Header!G62</f>
        <v>int8_t</v>
      </c>
      <c r="H62" t="str">
        <f>LoRa_Send_Header!H62</f>
        <v>packetSNR</v>
      </c>
      <c r="I62">
        <f>LoRa_Send_Header!I62</f>
        <v>-128</v>
      </c>
      <c r="J62">
        <f>LoRa_Send_Header!J62</f>
        <v>0</v>
      </c>
    </row>
    <row r="63" spans="2:10" x14ac:dyDescent="0.25">
      <c r="B63" t="e">
        <f>#REF!</f>
        <v>#REF!</v>
      </c>
      <c r="C63">
        <f>LoRa_Send_Header!C63</f>
        <v>0</v>
      </c>
      <c r="D63" s="2">
        <f>LoRa_Send_Header!D63</f>
        <v>0</v>
      </c>
      <c r="E63">
        <f>LoRa_Send_Header!E63</f>
        <v>0</v>
      </c>
      <c r="F63">
        <f>LoRa_Send_Header!F63</f>
        <v>0</v>
      </c>
      <c r="G63" t="str">
        <f>LoRa_Send_Header!G63</f>
        <v>RadioFSKShaping_t</v>
      </c>
      <c r="H63" t="str">
        <f>LoRa_Send_Header!H63</f>
        <v>fskDataShaping</v>
      </c>
      <c r="I63" t="str">
        <f>LoRa_Send_Header!I63</f>
        <v>FSK_SHAPING_GAUSS_BT_0_5</v>
      </c>
      <c r="J63">
        <f>LoRa_Send_Header!J63</f>
        <v>0</v>
      </c>
    </row>
    <row r="64" spans="2:10" x14ac:dyDescent="0.25">
      <c r="B64" t="e">
        <f>#REF!</f>
        <v>#REF!</v>
      </c>
      <c r="C64">
        <f>LoRa_Send_Header!C64</f>
        <v>0</v>
      </c>
      <c r="D64" s="2">
        <f>LoRa_Send_Header!D64</f>
        <v>0</v>
      </c>
      <c r="E64">
        <f>LoRa_Send_Header!E64</f>
        <v>0</v>
      </c>
      <c r="F64">
        <f>LoRa_Send_Header!F64</f>
        <v>0</v>
      </c>
      <c r="G64" t="str">
        <f>LoRa_Send_Header!G64</f>
        <v>RadioFSKBandWidth_t</v>
      </c>
      <c r="H64" t="str">
        <f>LoRa_Send_Header!H64</f>
        <v>rxBw</v>
      </c>
      <c r="I64" t="str">
        <f>LoRa_Send_Header!I64</f>
        <v>FSKBW_50_0KHZ</v>
      </c>
      <c r="J64">
        <f>LoRa_Send_Header!J64</f>
        <v>0</v>
      </c>
    </row>
    <row r="65" spans="2:10" x14ac:dyDescent="0.25">
      <c r="B65" t="e">
        <f>#REF!</f>
        <v>#REF!</v>
      </c>
      <c r="C65">
        <f>LoRa_Send_Header!C65</f>
        <v>0</v>
      </c>
      <c r="D65" s="2">
        <f>LoRa_Send_Header!D65</f>
        <v>0</v>
      </c>
      <c r="E65">
        <f>LoRa_Send_Header!E65</f>
        <v>0</v>
      </c>
      <c r="F65">
        <f>LoRa_Send_Header!F65</f>
        <v>0</v>
      </c>
      <c r="G65" t="str">
        <f>LoRa_Send_Header!G65</f>
        <v>RadioFSKBandWidth_t</v>
      </c>
      <c r="H65" t="str">
        <f>LoRa_Send_Header!H65</f>
        <v>afcBw</v>
      </c>
      <c r="I65" t="str">
        <f>LoRa_Send_Header!I65</f>
        <v>FSKBW_83_3KHZ</v>
      </c>
      <c r="J65">
        <f>LoRa_Send_Header!J65</f>
        <v>0</v>
      </c>
    </row>
    <row r="66" spans="2:10" x14ac:dyDescent="0.25">
      <c r="B66" t="e">
        <f>#REF!</f>
        <v>#REF!</v>
      </c>
      <c r="C66">
        <f>LoRa_Send_Header!C66</f>
        <v>0</v>
      </c>
      <c r="D66" s="2">
        <f>LoRa_Send_Header!D66</f>
        <v>0</v>
      </c>
      <c r="E66">
        <f>LoRa_Send_Header!E66</f>
        <v>0</v>
      </c>
      <c r="F66">
        <f>LoRa_Send_Header!F66</f>
        <v>0</v>
      </c>
      <c r="G66">
        <f>LoRa_Send_Header!G66</f>
        <v>0</v>
      </c>
      <c r="H66">
        <f>LoRa_Send_Header!H66</f>
        <v>0</v>
      </c>
      <c r="I66">
        <f>LoRa_Send_Header!I66</f>
        <v>0</v>
      </c>
      <c r="J66">
        <f>LoRa_Send_Header!J66</f>
        <v>0</v>
      </c>
    </row>
    <row r="67" spans="2:10" x14ac:dyDescent="0.25">
      <c r="B67" t="e">
        <f>#REF!</f>
        <v>#REF!</v>
      </c>
      <c r="C67">
        <f>LoRa_Send_Header!C67</f>
        <v>0</v>
      </c>
      <c r="D67" s="2">
        <f>LoRa_Send_Header!D67</f>
        <v>0</v>
      </c>
      <c r="E67">
        <f>LoRa_Send_Header!E67</f>
        <v>0</v>
      </c>
      <c r="F67">
        <f>LoRa_Send_Header!F67</f>
        <v>0</v>
      </c>
      <c r="G67">
        <f>LoRa_Send_Header!G67</f>
        <v>0</v>
      </c>
      <c r="H67">
        <f>LoRa_Send_Header!H67</f>
        <v>0</v>
      </c>
      <c r="I67">
        <f>LoRa_Send_Header!I67</f>
        <v>0</v>
      </c>
      <c r="J67">
        <f>LoRa_Send_Header!J67</f>
        <v>0</v>
      </c>
    </row>
    <row r="68" spans="2:10" x14ac:dyDescent="0.25">
      <c r="B68" t="e">
        <f>#REF!</f>
        <v>#REF!</v>
      </c>
      <c r="C68">
        <f>LoRa_Send_Header!C68</f>
        <v>0</v>
      </c>
      <c r="D68" s="2">
        <f>LoRa_Send_Header!D68</f>
        <v>0</v>
      </c>
      <c r="E68">
        <f>LoRa_Send_Header!E68</f>
        <v>0</v>
      </c>
      <c r="F68">
        <f>LoRa_Send_Header!F68</f>
        <v>0</v>
      </c>
      <c r="G68">
        <f>LoRa_Send_Header!G68</f>
        <v>0</v>
      </c>
      <c r="H68">
        <f>LoRa_Send_Header!H68</f>
        <v>0</v>
      </c>
      <c r="I68">
        <f>LoRa_Send_Header!I68</f>
        <v>0</v>
      </c>
      <c r="J68">
        <f>LoRa_Send_Header!J68</f>
        <v>0</v>
      </c>
    </row>
    <row r="69" spans="2:10" x14ac:dyDescent="0.25">
      <c r="B69" t="e">
        <f>#REF!</f>
        <v>#REF!</v>
      </c>
      <c r="C69">
        <f>LoRa_Send_Header!C69</f>
        <v>0</v>
      </c>
      <c r="D69" s="2">
        <f>LoRa_Send_Header!D69</f>
        <v>0</v>
      </c>
      <c r="E69">
        <f>LoRa_Send_Header!E69</f>
        <v>0</v>
      </c>
      <c r="F69">
        <f>LoRa_Send_Header!F69</f>
        <v>0</v>
      </c>
      <c r="G69" t="str">
        <f>LoRa_Send_Header!G69</f>
        <v>ChannelParams_t</v>
      </c>
      <c r="H69" t="str">
        <f>LoRa_Send_Header!H69</f>
        <v>Channels</v>
      </c>
      <c r="I69" t="str">
        <f>LoRa_Send_Header!I69</f>
        <v>DefaultChannels868</v>
      </c>
      <c r="J69">
        <f>LoRa_Send_Header!J69</f>
        <v>0</v>
      </c>
    </row>
    <row r="70" spans="2:10" x14ac:dyDescent="0.25">
      <c r="B70" t="e">
        <f>#REF!</f>
        <v>#REF!</v>
      </c>
      <c r="C70">
        <f>LoRa_Send_Header!C70</f>
        <v>0</v>
      </c>
      <c r="D70" s="2">
        <f>LoRa_Send_Header!D70</f>
        <v>0</v>
      </c>
      <c r="E70">
        <f>LoRa_Send_Header!E70</f>
        <v>0</v>
      </c>
      <c r="F70">
        <f>LoRa_Send_Header!F70</f>
        <v>0</v>
      </c>
      <c r="G70" t="str">
        <f>LoRa_Send_Header!G70</f>
        <v>uint8_t</v>
      </c>
      <c r="H70" t="str">
        <f>LoRa_Send_Header!H70</f>
        <v>maxPayloadSize[]</v>
      </c>
      <c r="I70" t="str">
        <f>LoRa_Send_Header!I70</f>
        <v>MAX_EU_SINGLE_BAND_CHANNELS</v>
      </c>
      <c r="J70">
        <f>LoRa_Send_Header!J70</f>
        <v>0</v>
      </c>
    </row>
    <row r="71" spans="2:10" x14ac:dyDescent="0.25">
      <c r="B71" t="e">
        <f>#REF!</f>
        <v>#REF!</v>
      </c>
      <c r="C71" t="e">
        <f>LoRa_Send_Header!#REF!</f>
        <v>#REF!</v>
      </c>
      <c r="D71" s="2" t="e">
        <f>LoRa_Send_Header!#REF!</f>
        <v>#REF!</v>
      </c>
      <c r="E71" t="e">
        <f>LoRa_Send_Header!#REF!</f>
        <v>#REF!</v>
      </c>
      <c r="F71" t="e">
        <f>LoRa_Send_Header!#REF!</f>
        <v>#REF!</v>
      </c>
      <c r="G71" t="e">
        <f>LoRa_Send_Header!#REF!</f>
        <v>#REF!</v>
      </c>
      <c r="H71" t="e">
        <f>LoRa_Send_Header!#REF!</f>
        <v>#REF!</v>
      </c>
      <c r="I71" t="e">
        <f>LoRa_Send_Header!#REF!</f>
        <v>#REF!</v>
      </c>
      <c r="J71" t="e">
        <f>LoRa_Send_Header!#REF!</f>
        <v>#REF!</v>
      </c>
    </row>
    <row r="72" spans="2:10" x14ac:dyDescent="0.25">
      <c r="B72" t="e">
        <f>#REF!</f>
        <v>#REF!</v>
      </c>
      <c r="C72" t="e">
        <f>LoRa_Send_Header!#REF!</f>
        <v>#REF!</v>
      </c>
      <c r="D72" s="2" t="e">
        <f>LoRa_Send_Header!#REF!</f>
        <v>#REF!</v>
      </c>
      <c r="E72" t="e">
        <f>LoRa_Send_Header!#REF!</f>
        <v>#REF!</v>
      </c>
      <c r="F72" t="e">
        <f>LoRa_Send_Header!#REF!</f>
        <v>#REF!</v>
      </c>
      <c r="G72" t="e">
        <f>LoRa_Send_Header!#REF!</f>
        <v>#REF!</v>
      </c>
      <c r="H72" t="e">
        <f>LoRa_Send_Header!#REF!</f>
        <v>#REF!</v>
      </c>
      <c r="I72" t="e">
        <f>LoRa_Send_Header!#REF!</f>
        <v>#REF!</v>
      </c>
      <c r="J72" t="e">
        <f>LoRa_Send_Header!#REF!</f>
        <v>#REF!</v>
      </c>
    </row>
    <row r="73" spans="2:10" x14ac:dyDescent="0.25">
      <c r="B73" t="e">
        <f>#REF!</f>
        <v>#REF!</v>
      </c>
      <c r="C73" t="e">
        <f>LoRa_Send_Header!#REF!</f>
        <v>#REF!</v>
      </c>
      <c r="D73" s="2" t="e">
        <f>LoRa_Send_Header!#REF!</f>
        <v>#REF!</v>
      </c>
      <c r="E73" t="e">
        <f>LoRa_Send_Header!#REF!</f>
        <v>#REF!</v>
      </c>
      <c r="F73" t="e">
        <f>LoRa_Send_Header!#REF!</f>
        <v>#REF!</v>
      </c>
      <c r="G73" t="e">
        <f>LoRa_Send_Header!#REF!</f>
        <v>#REF!</v>
      </c>
      <c r="H73" t="e">
        <f>LoRa_Send_Header!#REF!</f>
        <v>#REF!</v>
      </c>
      <c r="I73" t="e">
        <f>LoRa_Send_Header!#REF!</f>
        <v>#REF!</v>
      </c>
      <c r="J73" t="e">
        <f>LoRa_Send_Header!#REF!</f>
        <v>#REF!</v>
      </c>
    </row>
    <row r="74" spans="2:10" x14ac:dyDescent="0.25">
      <c r="B74" t="e">
        <f>#REF!</f>
        <v>#REF!</v>
      </c>
      <c r="C74" t="e">
        <f>LoRa_Send_Header!#REF!</f>
        <v>#REF!</v>
      </c>
      <c r="D74" s="2" t="e">
        <f>LoRa_Send_Header!#REF!</f>
        <v>#REF!</v>
      </c>
      <c r="E74" t="e">
        <f>LoRa_Send_Header!#REF!</f>
        <v>#REF!</v>
      </c>
      <c r="F74" t="e">
        <f>LoRa_Send_Header!#REF!</f>
        <v>#REF!</v>
      </c>
      <c r="G74" t="e">
        <f>LoRa_Send_Header!#REF!</f>
        <v>#REF!</v>
      </c>
      <c r="H74" t="e">
        <f>LoRa_Send_Header!#REF!</f>
        <v>#REF!</v>
      </c>
      <c r="I74" t="e">
        <f>LoRa_Send_Header!#REF!</f>
        <v>#REF!</v>
      </c>
      <c r="J74" t="e">
        <f>LoRa_Send_Header!#REF!</f>
        <v>#REF!</v>
      </c>
    </row>
    <row r="75" spans="2:10" x14ac:dyDescent="0.25">
      <c r="B75" t="e">
        <f>#REF!</f>
        <v>#REF!</v>
      </c>
      <c r="C75" t="e">
        <f>LoRa_Send_Header!#REF!</f>
        <v>#REF!</v>
      </c>
      <c r="D75" s="2" t="e">
        <f>LoRa_Send_Header!#REF!</f>
        <v>#REF!</v>
      </c>
      <c r="E75" t="e">
        <f>LoRa_Send_Header!#REF!</f>
        <v>#REF!</v>
      </c>
      <c r="F75" t="e">
        <f>LoRa_Send_Header!#REF!</f>
        <v>#REF!</v>
      </c>
      <c r="G75" t="e">
        <f>LoRa_Send_Header!#REF!</f>
        <v>#REF!</v>
      </c>
      <c r="H75" t="e">
        <f>LoRa_Send_Header!#REF!</f>
        <v>#REF!</v>
      </c>
      <c r="I75" t="e">
        <f>LoRa_Send_Header!#REF!</f>
        <v>#REF!</v>
      </c>
      <c r="J75" t="e">
        <f>LoRa_Send_Header!#REF!</f>
        <v>#REF!</v>
      </c>
    </row>
    <row r="76" spans="2:10" x14ac:dyDescent="0.25">
      <c r="B76" t="e">
        <f>#REF!</f>
        <v>#REF!</v>
      </c>
      <c r="C76" t="e">
        <f>LoRa_Send_Header!#REF!</f>
        <v>#REF!</v>
      </c>
      <c r="D76" s="2" t="e">
        <f>LoRa_Send_Header!#REF!</f>
        <v>#REF!</v>
      </c>
      <c r="E76" t="e">
        <f>LoRa_Send_Header!#REF!</f>
        <v>#REF!</v>
      </c>
      <c r="F76" t="e">
        <f>LoRa_Send_Header!#REF!</f>
        <v>#REF!</v>
      </c>
      <c r="G76" t="e">
        <f>LoRa_Send_Header!#REF!</f>
        <v>#REF!</v>
      </c>
      <c r="H76" t="e">
        <f>LoRa_Send_Header!#REF!</f>
        <v>#REF!</v>
      </c>
      <c r="I76" t="e">
        <f>LoRa_Send_Header!#REF!</f>
        <v>#REF!</v>
      </c>
      <c r="J76" t="e">
        <f>LoRa_Send_Header!#REF!</f>
        <v>#REF!</v>
      </c>
    </row>
    <row r="77" spans="2:10" x14ac:dyDescent="0.25">
      <c r="B77" t="e">
        <f>#REF!</f>
        <v>#REF!</v>
      </c>
      <c r="C77" t="e">
        <f>LoRa_Send_Header!#REF!</f>
        <v>#REF!</v>
      </c>
      <c r="D77" s="2" t="e">
        <f>LoRa_Send_Header!#REF!</f>
        <v>#REF!</v>
      </c>
      <c r="E77" t="e">
        <f>LoRa_Send_Header!#REF!</f>
        <v>#REF!</v>
      </c>
      <c r="F77" t="e">
        <f>LoRa_Send_Header!#REF!</f>
        <v>#REF!</v>
      </c>
      <c r="G77" t="e">
        <f>LoRa_Send_Header!#REF!</f>
        <v>#REF!</v>
      </c>
      <c r="H77" t="e">
        <f>LoRa_Send_Header!#REF!</f>
        <v>#REF!</v>
      </c>
      <c r="I77" t="e">
        <f>LoRa_Send_Header!#REF!</f>
        <v>#REF!</v>
      </c>
      <c r="J77" t="e">
        <f>LoRa_Send_Header!#REF!</f>
        <v>#REF!</v>
      </c>
    </row>
    <row r="78" spans="2:10" x14ac:dyDescent="0.25">
      <c r="B78" t="e">
        <f>#REF!</f>
        <v>#REF!</v>
      </c>
      <c r="C78" t="e">
        <f>#REF!</f>
        <v>#REF!</v>
      </c>
      <c r="D78" s="2" t="e">
        <f>#REF!</f>
        <v>#REF!</v>
      </c>
      <c r="E78" t="e">
        <f>#REF!</f>
        <v>#REF!</v>
      </c>
      <c r="F78" t="e">
        <f>#REF!</f>
        <v>#REF!</v>
      </c>
      <c r="G78" t="e">
        <f>#REF!</f>
        <v>#REF!</v>
      </c>
      <c r="H78" t="e">
        <f>#REF!</f>
        <v>#REF!</v>
      </c>
      <c r="I78" s="2" t="e">
        <f>#REF!</f>
        <v>#REF!</v>
      </c>
      <c r="J78" t="e">
        <f>#REF!</f>
        <v>#REF!</v>
      </c>
    </row>
  </sheetData>
  <hyperlinks>
    <hyperlink ref="B9" location="LoRa_Send_Header!C1" display="LoRa_Send_Header" xr:uid="{1A37C09F-4D33-4C94-BC33-1600A8792088}"/>
    <hyperlink ref="B10" location="LoRa_TxDone!C1" display="LoRa_TxDone" xr:uid="{40C70A52-61D0-4DB1-9367-9A1870122F6E}"/>
    <hyperlink ref="B11" location="LoRa_RxDone_OK!C1" display="LoRa_RxDone_OK" xr:uid="{CB98485A-9006-4DB8-A073-58CA55DFFEDB}"/>
    <hyperlink ref="B12" location="LoRa_RxDone_Fail!C1" display="RADIO_RxDone_Fail" xr:uid="{D18AA105-4E4A-4393-BBCB-085502B1189A}"/>
    <hyperlink ref="C22" location="LoRa_TimerRetransmitCallback!C1" display="LoRa_TimerRetransmitCallback" xr:uid="{52E1B4B5-4C5D-4509-8E69-D58E59AC069C}"/>
  </hyperlinks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898FA-7659-4B78-92E6-AD8ECED85987}">
  <sheetPr codeName="Arkusz7"/>
  <dimension ref="B1:J78"/>
  <sheetViews>
    <sheetView showZeros="0" workbookViewId="0">
      <selection activeCell="C22" sqref="C22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167</v>
      </c>
      <c r="I1" s="2" t="s">
        <v>3</v>
      </c>
    </row>
    <row r="3" spans="2:10" x14ac:dyDescent="0.25">
      <c r="B3" t="e">
        <f>#REF!</f>
        <v>#REF!</v>
      </c>
      <c r="C3" t="str">
        <f>LoRa_TimerHandshaking!C3</f>
        <v>LoRa_transmitStatus</v>
      </c>
      <c r="D3" s="2" t="str">
        <f>LoRa_TimerHandshaking!D3</f>
        <v>LoRa_transmit_Error</v>
      </c>
      <c r="E3">
        <f>LoRa_TimerHandshaking!E3</f>
        <v>0</v>
      </c>
      <c r="F3">
        <f>LoRa_TimerHandshaking!F3</f>
        <v>0</v>
      </c>
      <c r="G3" t="str">
        <f>LoRa_TimerHandshaking!G3</f>
        <v>LoRaMacState_t</v>
      </c>
      <c r="H3" t="str">
        <f>LoRa_TimerHandshaking!H3</f>
        <v>LoRa_transmitStatus</v>
      </c>
      <c r="I3" s="2" t="str">
        <f>LoRa_TimerHandshaking!I3</f>
        <v>LoRa_transmit_Error</v>
      </c>
      <c r="J3" t="e">
        <f>LoRa_TimerHandshaking!J3</f>
        <v>#REF!</v>
      </c>
    </row>
    <row r="4" spans="2:10" x14ac:dyDescent="0.25">
      <c r="B4" t="e">
        <f>#REF!</f>
        <v>#REF!</v>
      </c>
      <c r="C4" t="str">
        <f>LoRa_TimerHandshaking!C4</f>
        <v>LoRa_StatusDanych</v>
      </c>
      <c r="D4" s="2" t="str">
        <f>LoRa_TimerHandshaking!D4</f>
        <v>LoRa_transmiting</v>
      </c>
      <c r="E4">
        <f>LoRa_TimerHandshaking!E4</f>
        <v>0</v>
      </c>
      <c r="F4">
        <f>LoRa_TimerHandshaking!F4</f>
        <v>0</v>
      </c>
      <c r="G4" t="str">
        <f>LoRa_TimerHandshaking!G4</f>
        <v>LoRaStatus_t</v>
      </c>
      <c r="H4" t="str">
        <f>LoRa_TimerHandshaking!H4</f>
        <v>LoRa_StatusDanych</v>
      </c>
      <c r="I4" s="2" t="str">
        <f>LoRa_TimerHandshaking!I4</f>
        <v>LoRa_transmiting</v>
      </c>
      <c r="J4" t="e">
        <f>LoRa_TimerHandshaking!J4</f>
        <v>#REF!</v>
      </c>
    </row>
    <row r="5" spans="2:10" x14ac:dyDescent="0.25">
      <c r="B5" t="e">
        <f>#REF!</f>
        <v>#REF!</v>
      </c>
      <c r="C5" t="str">
        <f>LoRa_TimerHandshaking!C5</f>
        <v>flags</v>
      </c>
      <c r="D5" s="2" t="str">
        <f>LoRa_TimerHandshaking!D5</f>
        <v>0</v>
      </c>
      <c r="E5"/>
      <c r="F5">
        <f>LoRa_TimerHandshaking!F5</f>
        <v>0</v>
      </c>
      <c r="G5" t="str">
        <f>LoRa_TimerHandshaking!G5</f>
        <v>bool</v>
      </c>
      <c r="H5" t="str">
        <f>LoRa_TimerHandshaking!H5</f>
        <v>LoRa_initialised</v>
      </c>
      <c r="I5" s="2" t="str">
        <f>LoRa_TimerHandshaking!I5</f>
        <v>ENABLED</v>
      </c>
      <c r="J5" t="e">
        <f>LoRa_TimerHandshaking!J5</f>
        <v>#REF!</v>
      </c>
    </row>
    <row r="6" spans="2:10" x14ac:dyDescent="0.25">
      <c r="B6" t="e">
        <f>#REF!</f>
        <v>#REF!</v>
      </c>
      <c r="C6">
        <f>LoRa_TimerHandshaking!C6</f>
        <v>0</v>
      </c>
      <c r="D6" s="2">
        <f>LoRa_TimerHandshaking!D6</f>
        <v>0</v>
      </c>
      <c r="E6">
        <f>LoRa_TimerHandshaking!E6</f>
        <v>0</v>
      </c>
      <c r="F6">
        <f>LoRa_TimerHandshaking!F6</f>
        <v>0</v>
      </c>
      <c r="G6" t="str">
        <f>LoRa_TimerHandshaking!G6</f>
        <v>FCnt_t</v>
      </c>
      <c r="H6" t="str">
        <f>LoRa_TimerHandshaking!H6</f>
        <v>LoRa_Counter</v>
      </c>
      <c r="I6" s="2" t="str">
        <f>LoRa_TimerHandshaking!I6</f>
        <v>++</v>
      </c>
      <c r="J6" t="e">
        <f>LoRa_TimerHandshaking!J6</f>
        <v>#REF!</v>
      </c>
    </row>
    <row r="7" spans="2:10" x14ac:dyDescent="0.25">
      <c r="B7" t="e">
        <f>#REF!</f>
        <v>#REF!</v>
      </c>
      <c r="C7" s="16">
        <f>LoRa_TimerHandshaking!C7</f>
        <v>0</v>
      </c>
      <c r="D7" s="25">
        <f>LoRa_TimerHandshaking!D7</f>
        <v>0</v>
      </c>
      <c r="E7" s="17">
        <f>LoRa_TimerHandshaking!E7</f>
        <v>0</v>
      </c>
      <c r="F7" s="18">
        <f>LoRa_TimerHandshaking!F7</f>
        <v>0</v>
      </c>
      <c r="G7" t="str">
        <f>LoRa_TimerHandshaking!G7</f>
        <v>uint8_t</v>
      </c>
      <c r="H7" t="str">
        <f>LoRa_TimerHandshaking!H7</f>
        <v>LoRa_Addres</v>
      </c>
      <c r="I7" s="2" t="str">
        <f>LoRa_TimerHandshaking!I7</f>
        <v>LoRaDeviceAddress</v>
      </c>
      <c r="J7" t="e">
        <f>LoRa_TimerHandshaking!J7</f>
        <v>#REF!</v>
      </c>
    </row>
    <row r="8" spans="2:10" x14ac:dyDescent="0.25">
      <c r="B8" t="e">
        <f>#REF!</f>
        <v>#REF!</v>
      </c>
      <c r="C8" s="19">
        <f>LoRa_TimerHandshaking!C8</f>
        <v>0</v>
      </c>
      <c r="D8" s="26">
        <f>LoRa_TimerHandshaking!D8</f>
        <v>0</v>
      </c>
      <c r="E8" s="20">
        <f>LoRa_TimerHandshaking!E8</f>
        <v>0</v>
      </c>
      <c r="F8" s="21">
        <f>LoRa_TimerHandshaking!F8</f>
        <v>0</v>
      </c>
      <c r="G8" t="str">
        <f>LoRa_TimerHandshaking!G8</f>
        <v>uint8_t</v>
      </c>
      <c r="H8" t="str">
        <f>LoRa_TimerHandshaking!H8</f>
        <v>LoRa_TimerHandshaking</v>
      </c>
      <c r="I8" s="2" t="str">
        <f>LoRa_TimerHandshaking!I8</f>
        <v>0</v>
      </c>
      <c r="J8" t="e">
        <f>LoRa_TimerHandshaking!J8</f>
        <v>#REF!</v>
      </c>
    </row>
    <row r="9" spans="2:10" x14ac:dyDescent="0.25">
      <c r="B9" s="3" t="s">
        <v>22</v>
      </c>
      <c r="C9" s="19">
        <f>LoRa_TimerHandshaking!C9</f>
        <v>0</v>
      </c>
      <c r="D9" s="26">
        <f>LoRa_TimerHandshaking!D9</f>
        <v>0</v>
      </c>
      <c r="E9" s="20">
        <f>LoRa_TimerHandshaking!E9</f>
        <v>0</v>
      </c>
      <c r="F9" s="21">
        <f>LoRa_TimerHandshaking!F9</f>
        <v>0</v>
      </c>
      <c r="G9" t="str">
        <f>LoRa_TimerHandshaking!G9</f>
        <v>uint8_t</v>
      </c>
      <c r="H9" t="str">
        <f>LoRa_TimerHandshaking!H9</f>
        <v>LoRa_TimerRetransmit</v>
      </c>
      <c r="I9" s="8" t="s">
        <v>66</v>
      </c>
      <c r="J9" t="e">
        <f>LoRa_TimerHandshaking!J9</f>
        <v>#REF!</v>
      </c>
    </row>
    <row r="10" spans="2:10" x14ac:dyDescent="0.25">
      <c r="B10" t="e">
        <f>#REF!</f>
        <v>#REF!</v>
      </c>
      <c r="C10" s="19">
        <f>LoRa_TimerHandshaking!C10</f>
        <v>0</v>
      </c>
      <c r="D10" s="26">
        <f>LoRa_TimerHandshaking!D10</f>
        <v>0</v>
      </c>
      <c r="E10" s="20">
        <f>LoRa_TimerHandshaking!E10</f>
        <v>0</v>
      </c>
      <c r="F10" s="21">
        <f>LoRa_TimerHandshaking!F10</f>
        <v>0</v>
      </c>
      <c r="G10" t="str">
        <f>LoRa_TimerHandshaking!G10</f>
        <v>uint8_t</v>
      </c>
      <c r="H10" t="str">
        <f>LoRa_TimerHandshaking!H10</f>
        <v>LoRa_TimerWaitAck</v>
      </c>
      <c r="I10" s="2" t="str">
        <f>LoRa_TimerHandshaking!I10</f>
        <v>0</v>
      </c>
      <c r="J10" t="e">
        <f>LoRa_TimerHandshaking!J10</f>
        <v>#REF!</v>
      </c>
    </row>
    <row r="11" spans="2:10" x14ac:dyDescent="0.25">
      <c r="B11" t="e">
        <f>#REF!</f>
        <v>#REF!</v>
      </c>
      <c r="C11" s="19">
        <f>LoRa_TimerHandshaking!C11</f>
        <v>0</v>
      </c>
      <c r="D11" s="26">
        <f>LoRa_TimerHandshaking!D11</f>
        <v>0</v>
      </c>
      <c r="E11" s="20">
        <f>LoRa_TimerHandshaking!E11</f>
        <v>0</v>
      </c>
      <c r="F11" s="21">
        <f>LoRa_TimerHandshaking!F11</f>
        <v>0</v>
      </c>
      <c r="G11" t="str">
        <f>LoRa_TimerHandshaking!G11</f>
        <v>uint8_t</v>
      </c>
      <c r="H11" t="str">
        <f>LoRa_TimerHandshaking!H11</f>
        <v>LoRa_HeaderBufor</v>
      </c>
      <c r="I11" s="2" t="str">
        <f>LoRa_TimerHandshaking!I11</f>
        <v>LoRa_Addres, nxt_channel</v>
      </c>
      <c r="J11" t="e">
        <f>LoRa_TimerHandshaking!J11</f>
        <v>#REF!</v>
      </c>
    </row>
    <row r="12" spans="2:10" x14ac:dyDescent="0.25">
      <c r="B12" t="e">
        <f>#REF!</f>
        <v>#REF!</v>
      </c>
      <c r="C12" s="19">
        <f>LoRa_TimerHandshaking!C12</f>
        <v>0</v>
      </c>
      <c r="D12" s="26">
        <f>LoRa_TimerHandshaking!D12</f>
        <v>0</v>
      </c>
      <c r="E12" s="20">
        <f>LoRa_TimerHandshaking!E12</f>
        <v>0</v>
      </c>
      <c r="F12" s="21">
        <f>LoRa_TimerHandshaking!F12</f>
        <v>0</v>
      </c>
      <c r="G12" t="str">
        <f>LoRa_TimerHandshaking!G12</f>
        <v>uint8_t</v>
      </c>
      <c r="H12" t="str">
        <f>LoRa_TimerHandshaking!H12</f>
        <v>LoRa_HeaderLength</v>
      </c>
      <c r="I12" s="2" t="str">
        <f>LoRa_TimerHandshaking!I12</f>
        <v>bufferHeadIndex</v>
      </c>
      <c r="J12" t="e">
        <f>LoRa_TimerHandshaking!J12</f>
        <v>#REF!</v>
      </c>
    </row>
    <row r="13" spans="2:10" x14ac:dyDescent="0.25">
      <c r="B13" t="e">
        <f>#REF!</f>
        <v>#REF!</v>
      </c>
      <c r="C13" s="19">
        <f>LoRa_TimerHandshaking!C13</f>
        <v>0</v>
      </c>
      <c r="D13" s="26">
        <f>LoRa_TimerHandshaking!D13</f>
        <v>0</v>
      </c>
      <c r="E13" s="20">
        <f>LoRa_TimerHandshaking!E13</f>
        <v>0</v>
      </c>
      <c r="F13" s="21">
        <f>LoRa_TimerHandshaking!F13</f>
        <v>0</v>
      </c>
      <c r="G13" t="str">
        <f>LoRa_TimerHandshaking!G13</f>
        <v>uint8_t</v>
      </c>
      <c r="H13" t="str">
        <f>LoRa_TimerHandshaking!H13</f>
        <v>LoRa_Bufor</v>
      </c>
      <c r="I13" s="2" t="str">
        <f>LoRa_TimerHandshaking!I13</f>
        <v>bufferIndex, nxt_channel, data, CRC</v>
      </c>
      <c r="J13" t="e">
        <f>LoRa_TimerHandshaking!J13</f>
        <v>#REF!</v>
      </c>
    </row>
    <row r="14" spans="2:10" x14ac:dyDescent="0.25">
      <c r="B14" t="e">
        <f>#REF!</f>
        <v>#REF!</v>
      </c>
      <c r="C14" s="19">
        <f>LoRa_TimerHandshaking!C14</f>
        <v>0</v>
      </c>
      <c r="D14" s="26">
        <f>LoRa_TimerHandshaking!D14</f>
        <v>0</v>
      </c>
      <c r="E14" s="20">
        <f>LoRa_TimerHandshaking!E14</f>
        <v>0</v>
      </c>
      <c r="F14" s="21">
        <f>LoRa_TimerHandshaking!F14</f>
        <v>0</v>
      </c>
      <c r="G14" t="str">
        <f>LoRa_TimerHandshaking!G14</f>
        <v>uint8_t</v>
      </c>
      <c r="H14" t="str">
        <f>LoRa_TimerHandshaking!H14</f>
        <v>LoRa_BuforLength</v>
      </c>
      <c r="I14" s="2" t="str">
        <f>LoRa_TimerHandshaking!I14</f>
        <v>bufferIndex</v>
      </c>
      <c r="J14" t="e">
        <f>LoRa_TimerHandshaking!J14</f>
        <v>#REF!</v>
      </c>
    </row>
    <row r="15" spans="2:10" x14ac:dyDescent="0.25">
      <c r="B15" t="e">
        <f>#REF!</f>
        <v>#REF!</v>
      </c>
      <c r="C15" s="19">
        <f>LoRa_TimerHandshaking!C15</f>
        <v>0</v>
      </c>
      <c r="D15" s="26">
        <f>LoRa_TimerHandshaking!D15</f>
        <v>0</v>
      </c>
      <c r="E15" s="20">
        <f>LoRa_TimerHandshaking!E15</f>
        <v>0</v>
      </c>
      <c r="F15" s="21">
        <f>LoRa_TimerHandshaking!F15</f>
        <v>0</v>
      </c>
      <c r="G15" t="str">
        <f>LoRa_TimerHandshaking!G15</f>
        <v>uint8_t</v>
      </c>
      <c r="H15" t="str">
        <f>LoRa_TimerHandshaking!H15</f>
        <v>LoRa_Command</v>
      </c>
      <c r="I15" s="2">
        <f>LoRa_TimerHandshaking!I15</f>
        <v>0</v>
      </c>
      <c r="J15" t="e">
        <f>LoRa_TimerHandshaking!J15</f>
        <v>#REF!</v>
      </c>
    </row>
    <row r="16" spans="2:10" x14ac:dyDescent="0.25">
      <c r="B16" t="e">
        <f>#REF!</f>
        <v>#REF!</v>
      </c>
      <c r="C16" s="19">
        <f>LoRa_TimerHandshaking!C16</f>
        <v>0</v>
      </c>
      <c r="D16" s="26">
        <f>LoRa_TimerHandshaking!D16</f>
        <v>0</v>
      </c>
      <c r="E16" s="20">
        <f>LoRa_TimerHandshaking!E16</f>
        <v>0</v>
      </c>
      <c r="F16" s="21">
        <f>LoRa_TimerHandshaking!F16</f>
        <v>0</v>
      </c>
      <c r="G16" t="str">
        <f>LoRa_TimerHandshaking!G16</f>
        <v>uint8_t</v>
      </c>
      <c r="H16" t="str">
        <f>LoRa_TimerHandshaking!H16</f>
        <v>LoRa_maxChannels</v>
      </c>
      <c r="I16" s="2" t="str">
        <f>LoRa_TimerHandshaking!I16</f>
        <v>MAX_EU_SINGLE_BAND_CHANNELS</v>
      </c>
      <c r="J16" t="e">
        <f>LoRa_TimerHandshaking!J16</f>
        <v>#REF!</v>
      </c>
    </row>
    <row r="17" spans="2:10" x14ac:dyDescent="0.25">
      <c r="B17" t="e">
        <f>#REF!</f>
        <v>#REF!</v>
      </c>
      <c r="C17" s="19">
        <f>LoRa_TimerHandshaking!C17</f>
        <v>0</v>
      </c>
      <c r="D17" s="26">
        <f>LoRa_TimerHandshaking!D17</f>
        <v>0</v>
      </c>
      <c r="E17" s="20">
        <f>LoRa_TimerHandshaking!E17</f>
        <v>0</v>
      </c>
      <c r="F17" s="21">
        <f>LoRa_TimerHandshaking!F17</f>
        <v>0</v>
      </c>
      <c r="G17" t="str">
        <f>LoRa_TimerHandshaking!G17</f>
        <v>uint8_t</v>
      </c>
      <c r="H17" t="str">
        <f>LoRa_TimerHandshaking!H17</f>
        <v>LoRa_lastUsedChannelIndex</v>
      </c>
      <c r="I17" s="2" t="str">
        <f>LoRa_TimerHandshaking!I17</f>
        <v>channelRx</v>
      </c>
      <c r="J17" t="e">
        <f>LoRa_TimerHandshaking!J17</f>
        <v>#REF!</v>
      </c>
    </row>
    <row r="18" spans="2:10" x14ac:dyDescent="0.25">
      <c r="B18" t="e">
        <f>#REF!</f>
        <v>#REF!</v>
      </c>
      <c r="C18" s="19">
        <f>LoRa_TimerHandshaking!C18</f>
        <v>0</v>
      </c>
      <c r="D18" s="26">
        <f>LoRa_TimerHandshaking!D18</f>
        <v>0</v>
      </c>
      <c r="E18" s="20">
        <f>LoRa_TimerHandshaking!E18</f>
        <v>0</v>
      </c>
      <c r="F18" s="21">
        <f>LoRa_TimerHandshaking!F18</f>
        <v>0</v>
      </c>
      <c r="G18" t="str">
        <f>LoRa_TimerHandshaking!G18</f>
        <v>ReceiveWindowParameters_t</v>
      </c>
      <c r="H18" t="str">
        <f>LoRa_TimerHandshaking!H18</f>
        <v>LoRa_ch0_params.frequency</v>
      </c>
      <c r="I18" s="2" t="str">
        <f>LoRa_TimerHandshaking!I18</f>
        <v>LoRa_CH0_frequency</v>
      </c>
      <c r="J18" t="e">
        <f>LoRa_TimerHandshaking!J18</f>
        <v>#REF!</v>
      </c>
    </row>
    <row r="19" spans="2:10" x14ac:dyDescent="0.25">
      <c r="B19" t="e">
        <f>#REF!</f>
        <v>#REF!</v>
      </c>
      <c r="C19" s="19">
        <f>LoRa_TimerHandshaking!C19</f>
        <v>0</v>
      </c>
      <c r="D19" s="26">
        <f>LoRa_TimerHandshaking!D19</f>
        <v>0</v>
      </c>
      <c r="E19" s="20">
        <f>LoRa_TimerHandshaking!E19</f>
        <v>0</v>
      </c>
      <c r="F19" s="21">
        <f>LoRa_TimerHandshaking!F19</f>
        <v>0</v>
      </c>
      <c r="G19">
        <f>LoRa_TimerHandshaking!G19</f>
        <v>0</v>
      </c>
      <c r="H19" t="str">
        <f>LoRa_TimerHandshaking!H19</f>
        <v>LoRa_ch0_params.datarate</v>
      </c>
      <c r="I19" s="2" t="str">
        <f>LoRa_TimerHandshaking!I19</f>
        <v>LoRa_CH0_datarate</v>
      </c>
      <c r="J19" t="e">
        <f>LoRa_TimerHandshaking!J19</f>
        <v>#REF!</v>
      </c>
    </row>
    <row r="20" spans="2:10" x14ac:dyDescent="0.25">
      <c r="B20" t="e">
        <f>#REF!</f>
        <v>#REF!</v>
      </c>
      <c r="C20" s="19">
        <f>LoRa_TimerHandshaking!C20</f>
        <v>0</v>
      </c>
      <c r="D20" s="26">
        <f>LoRa_TimerHandshaking!D20</f>
        <v>0</v>
      </c>
      <c r="E20" s="20">
        <f>LoRa_TimerHandshaking!E20</f>
        <v>0</v>
      </c>
      <c r="F20" s="21">
        <f>LoRa_TimerHandshaking!F20</f>
        <v>0</v>
      </c>
      <c r="G20" t="str">
        <f>LoRa_TimerHandshaking!G20</f>
        <v>ReceiveWindowParameters_t</v>
      </c>
      <c r="H20" t="str">
        <f>LoRa_TimerHandshaking!H20</f>
        <v>LoRa_receiveChannelParameters.frequency</v>
      </c>
      <c r="I20" s="2" t="str">
        <f>LoRa_TimerHandshaking!I20</f>
        <v>LoRa_Channels[channelRxIndex].frequency</v>
      </c>
      <c r="J20" t="e">
        <f>LoRa_TimerHandshaking!J20</f>
        <v>#REF!</v>
      </c>
    </row>
    <row r="21" spans="2:10" x14ac:dyDescent="0.25">
      <c r="B21" t="e">
        <f>#REF!</f>
        <v>#REF!</v>
      </c>
      <c r="C21" s="19">
        <f>LoRa_TimerHandshaking!C21</f>
        <v>0</v>
      </c>
      <c r="D21" s="26">
        <f>LoRa_TimerHandshaking!D21</f>
        <v>0</v>
      </c>
      <c r="E21" s="20">
        <f>LoRa_TimerHandshaking!E21</f>
        <v>0</v>
      </c>
      <c r="F21" s="21">
        <f>LoRa_TimerHandshaking!F21</f>
        <v>0</v>
      </c>
      <c r="G21">
        <f>LoRa_TimerHandshaking!G21</f>
        <v>0</v>
      </c>
      <c r="H21" t="str">
        <f>LoRa_TimerHandshaking!H21</f>
        <v>LoRa_receiveChannelParameters.dataRate</v>
      </c>
      <c r="I21" s="2" t="str">
        <f>LoRa_TimerHandshaking!I21</f>
        <v>LoRa_currentDataRate</v>
      </c>
      <c r="J21" t="e">
        <f>LoRa_TimerHandshaking!J21</f>
        <v>#REF!</v>
      </c>
    </row>
    <row r="22" spans="2:10" x14ac:dyDescent="0.25">
      <c r="B22" t="e">
        <f>#REF!</f>
        <v>#REF!</v>
      </c>
      <c r="C22" s="19" t="s">
        <v>169</v>
      </c>
      <c r="D22" s="26">
        <f>LoRa_TimerHandshaking!D22</f>
        <v>0</v>
      </c>
      <c r="E22" s="20">
        <f>LoRa_TimerHandshaking!E22</f>
        <v>0</v>
      </c>
      <c r="F22" s="21">
        <f>LoRa_TimerHandshaking!F22</f>
        <v>0</v>
      </c>
      <c r="G22" t="str">
        <f>LoRa_TimerHandshaking!G22</f>
        <v>ReceiveWindowParameters_t</v>
      </c>
      <c r="H22" t="str">
        <f>LoRa_TimerHandshaking!H22</f>
        <v>LoRa_sendChannelParameters.frequency</v>
      </c>
      <c r="I22" s="2" t="str">
        <f>LoRa_TimerHandshaking!I22</f>
        <v>LoRa_Channels[channelRxIndex].frequency</v>
      </c>
      <c r="J22" t="e">
        <f>LoRa_TimerHandshaking!J22</f>
        <v>#REF!</v>
      </c>
    </row>
    <row r="23" spans="2:10" x14ac:dyDescent="0.25">
      <c r="B23" t="e">
        <f>#REF!</f>
        <v>#REF!</v>
      </c>
      <c r="C23" s="19">
        <f>LoRa_TimerHandshaking!C23</f>
        <v>0</v>
      </c>
      <c r="D23" s="26">
        <f>LoRa_TimerHandshaking!D23</f>
        <v>0</v>
      </c>
      <c r="E23" s="20">
        <f>LoRa_TimerHandshaking!E23</f>
        <v>0</v>
      </c>
      <c r="F23" s="21">
        <f>LoRa_TimerHandshaking!F23</f>
        <v>0</v>
      </c>
      <c r="G23">
        <f>LoRa_TimerHandshaking!G23</f>
        <v>0</v>
      </c>
      <c r="H23" t="str">
        <f>LoRa_TimerHandshaking!H23</f>
        <v>LoRa_sendChannelParameters.dataRate</v>
      </c>
      <c r="I23" s="2" t="str">
        <f>LoRa_TimerHandshaking!I23</f>
        <v>LoRa_currentDataRate</v>
      </c>
      <c r="J23" t="e">
        <f>LoRa_TimerHandshaking!J23</f>
        <v>#REF!</v>
      </c>
    </row>
    <row r="24" spans="2:10" x14ac:dyDescent="0.25">
      <c r="B24" t="e">
        <f>#REF!</f>
        <v>#REF!</v>
      </c>
      <c r="C24" s="22">
        <f>LoRa_TimerHandshaking!C24</f>
        <v>0</v>
      </c>
      <c r="D24" s="27">
        <f>LoRa_TimerHandshaking!D24</f>
        <v>0</v>
      </c>
      <c r="E24" s="23">
        <f>LoRa_TimerHandshaking!E24</f>
        <v>0</v>
      </c>
      <c r="F24" s="24">
        <f>LoRa_TimerHandshaking!F24</f>
        <v>0</v>
      </c>
      <c r="G24" t="str">
        <f>LoRa_TimerHandshaking!G24</f>
        <v>uint8_t</v>
      </c>
      <c r="H24" t="str">
        <f>LoRa_TimerHandshaking!H24</f>
        <v>LoRa_txPower</v>
      </c>
      <c r="I24" s="2">
        <f>LoRa_TimerHandshaking!I24</f>
        <v>1</v>
      </c>
      <c r="J24" t="e">
        <f>LoRa_TimerHandshaking!J24</f>
        <v>#REF!</v>
      </c>
    </row>
    <row r="25" spans="2:10" x14ac:dyDescent="0.25">
      <c r="B25" t="e">
        <f>#REF!</f>
        <v>#REF!</v>
      </c>
      <c r="C25" t="str">
        <f>LoRa_TimerHandshaking!C25</f>
        <v>DATA</v>
      </c>
      <c r="D25" s="2" t="str">
        <f>LoRa_TimerHandshaking!D25</f>
        <v>LoRa_Addres, nxt_channel</v>
      </c>
      <c r="E25">
        <f>LoRa_TimerHandshaking!E25</f>
        <v>0</v>
      </c>
      <c r="F25">
        <f>LoRa_TimerHandshaking!F25</f>
        <v>0</v>
      </c>
      <c r="G25" t="str">
        <f>LoRa_TimerHandshaking!G25</f>
        <v>uint8_t</v>
      </c>
      <c r="H25" t="str">
        <f>LoRa_TimerHandshaking!H25</f>
        <v>LoRa_syncWord</v>
      </c>
      <c r="I25" s="2" t="str">
        <f>LoRa_TimerHandshaking!I25</f>
        <v>0x34</v>
      </c>
      <c r="J25" t="e">
        <f>LoRa_TimerHandshaking!J25</f>
        <v>#REF!</v>
      </c>
    </row>
    <row r="26" spans="2:10" x14ac:dyDescent="0.25">
      <c r="B26" t="e">
        <f>#REF!</f>
        <v>#REF!</v>
      </c>
      <c r="C26" t="str">
        <f>LoRa_TimerHandshaking!C26</f>
        <v>mode</v>
      </c>
      <c r="D26" s="2" t="str">
        <f>LoRa_TimerHandshaking!D26</f>
        <v>MODE_SLEEP</v>
      </c>
      <c r="E26">
        <f>LoRa_TimerHandshaking!E26</f>
        <v>0</v>
      </c>
      <c r="F26">
        <f>LoRa_TimerHandshaking!F26</f>
        <v>0</v>
      </c>
      <c r="G26" t="str">
        <f>LoRa_TimerHandshaking!G26</f>
        <v>uint8_t</v>
      </c>
      <c r="H26" t="str">
        <f>LoRa_TimerHandshaking!H26</f>
        <v>LoRa_batteryLevel</v>
      </c>
      <c r="I26" s="2" t="str">
        <f>LoRa_TimerHandshaking!I26</f>
        <v>BATTERY_LEVEL_INVALID</v>
      </c>
      <c r="J26" t="e">
        <f>LoRa_TimerHandshaking!J26</f>
        <v>#REF!</v>
      </c>
    </row>
    <row r="27" spans="2:10" x14ac:dyDescent="0.25">
      <c r="B27" t="e">
        <f>#REF!</f>
        <v>#REF!</v>
      </c>
      <c r="C27" t="str">
        <f>LoRa_TimerHandshaking!C27</f>
        <v>modulation</v>
      </c>
      <c r="D27" s="2" t="str">
        <f>LoRa_TimerHandshaking!D27</f>
        <v>modulation[LoRa_ch0_params.dataRate]</v>
      </c>
      <c r="E27">
        <f>LoRa_TimerHandshaking!E27</f>
        <v>0</v>
      </c>
      <c r="F27">
        <f>LoRa_TimerHandshaking!F27</f>
        <v>0</v>
      </c>
      <c r="G27" t="str">
        <f>LoRa_TimerHandshaking!G27</f>
        <v>IsmBand_t</v>
      </c>
      <c r="H27" t="str">
        <f>LoRa_TimerHandshaking!H27</f>
        <v>LoRa_ismBand</v>
      </c>
      <c r="I27" s="2" t="str">
        <f>LoRa_TimerHandshaking!I27</f>
        <v>ISM_EU868</v>
      </c>
      <c r="J27" t="e">
        <f>LoRa_TimerHandshaking!J27</f>
        <v>#REF!</v>
      </c>
    </row>
    <row r="28" spans="2:10" x14ac:dyDescent="0.25">
      <c r="B28" t="e">
        <f>#REF!</f>
        <v>#REF!</v>
      </c>
      <c r="C28" t="str">
        <f>LoRa_TimerHandshaking!C28</f>
        <v>frequency</v>
      </c>
      <c r="D28" s="2" t="str">
        <f>LoRa_TimerHandshaking!D28</f>
        <v>LoRa_ch0_params.frequency</v>
      </c>
      <c r="E28">
        <f>LoRa_TimerHandshaking!E28</f>
        <v>0</v>
      </c>
      <c r="F28">
        <f>LoRa_TimerHandshaking!F28</f>
        <v>0</v>
      </c>
      <c r="G28" t="str">
        <f>LoRa_TimerHandshaking!G28</f>
        <v>uint8_t</v>
      </c>
      <c r="H28" t="str">
        <f>LoRa_TimerHandshaking!H28</f>
        <v>LoRa_currentDataRate</v>
      </c>
      <c r="I28" s="2" t="str">
        <f>LoRa_TimerHandshaking!I28</f>
        <v>DR0</v>
      </c>
      <c r="J28" t="e">
        <f>LoRa_TimerHandshaking!J28</f>
        <v>#REF!</v>
      </c>
    </row>
    <row r="29" spans="2:10" x14ac:dyDescent="0.25">
      <c r="B29" t="e">
        <f>#REF!</f>
        <v>#REF!</v>
      </c>
      <c r="C29" t="str">
        <f>LoRa_TimerHandshaking!C29</f>
        <v>payload</v>
      </c>
      <c r="D29" s="2" t="str">
        <f>LoRa_TimerHandshaking!D29</f>
        <v>bufferHeadIndex</v>
      </c>
      <c r="E29">
        <f>LoRa_TimerHandshaking!E29</f>
        <v>0</v>
      </c>
      <c r="F29">
        <f>LoRa_TimerHandshaking!F29</f>
        <v>0</v>
      </c>
      <c r="G29" t="str">
        <f>LoRa_TimerHandshaking!G29</f>
        <v>uint8_t</v>
      </c>
      <c r="H29" t="str">
        <f>LoRa_TimerHandshaking!H29</f>
        <v>LoRa_minDataRate</v>
      </c>
      <c r="I29" s="2" t="str">
        <f>LoRa_TimerHandshaking!I29</f>
        <v>DR0</v>
      </c>
      <c r="J29" t="e">
        <f>LoRa_TimerHandshaking!J29</f>
        <v>#REF!</v>
      </c>
    </row>
    <row r="30" spans="2:10" x14ac:dyDescent="0.25">
      <c r="B30" t="e">
        <f>#REF!</f>
        <v>#REF!</v>
      </c>
      <c r="C30" t="str">
        <f>LoRa_TimerHandshaking!C30</f>
        <v>power</v>
      </c>
      <c r="D30" s="2" t="str">
        <f>LoRa_TimerHandshaking!D30</f>
        <v>txPower868[LoRa_txPower]</v>
      </c>
      <c r="E30">
        <f>LoRa_TimerHandshaking!E30</f>
        <v>0</v>
      </c>
      <c r="F30">
        <f>LoRa_TimerHandshaking!F30</f>
        <v>0</v>
      </c>
      <c r="G30" t="str">
        <f>LoRa_TimerHandshaking!G30</f>
        <v>uint8_t</v>
      </c>
      <c r="H30" t="str">
        <f>LoRa_TimerHandshaking!H30</f>
        <v>LoRa_maxDataRate</v>
      </c>
      <c r="I30" s="2" t="str">
        <f>LoRa_TimerHandshaking!I30</f>
        <v>DR7</v>
      </c>
      <c r="J30" t="e">
        <f>LoRa_TimerHandshaking!J30</f>
        <v>#REF!</v>
      </c>
    </row>
    <row r="31" spans="2:10" x14ac:dyDescent="0.25">
      <c r="B31" t="e">
        <f>#REF!</f>
        <v>#REF!</v>
      </c>
      <c r="C31" t="str">
        <f>LoRa_TimerHandshaking!C31</f>
        <v>SpreadingFactor</v>
      </c>
      <c r="D31" s="2" t="str">
        <f>LoRa_TimerHandshaking!D31</f>
        <v>spreadingFactor[LoRa_ch0_params.dataRate]</v>
      </c>
      <c r="E31">
        <f>LoRa_TimerHandshaking!E31</f>
        <v>0</v>
      </c>
      <c r="F31">
        <f>LoRa_TimerHandshaking!F31</f>
        <v>0</v>
      </c>
      <c r="G31" t="str">
        <f>LoRa_TimerHandshaking!G31</f>
        <v>uint8_t</v>
      </c>
      <c r="H31" t="str">
        <f>LoRa_TimerHandshaking!H31</f>
        <v>LoRa_nextUsedChannel</v>
      </c>
      <c r="I31" s="2">
        <f>LoRa_TimerHandshaking!I31</f>
        <v>0</v>
      </c>
      <c r="J31" t="e">
        <f>LoRa_TimerHandshaking!J31</f>
        <v>#REF!</v>
      </c>
    </row>
    <row r="32" spans="2:10" x14ac:dyDescent="0.25">
      <c r="B32" t="e">
        <f>#REF!</f>
        <v>#REF!</v>
      </c>
      <c r="C32" t="str">
        <f>LoRa_TimerHandshaking!C32</f>
        <v>Bandwidth</v>
      </c>
      <c r="D32" s="2" t="str">
        <f>LoRa_TimerHandshaking!D32</f>
        <v>bandwidth[LoRa_ch0_params.dataRate]</v>
      </c>
      <c r="E32">
        <f>LoRa_TimerHandshaking!E32</f>
        <v>0</v>
      </c>
      <c r="F32">
        <f>LoRa_TimerHandshaking!F32</f>
        <v>0</v>
      </c>
      <c r="G32">
        <f>LoRa_TimerHandshaking!G32</f>
        <v>0</v>
      </c>
      <c r="H32">
        <f>LoRa_TimerHandshaking!H32</f>
        <v>0</v>
      </c>
      <c r="I32" s="2">
        <f>LoRa_TimerHandshaking!I32</f>
        <v>0</v>
      </c>
      <c r="J32">
        <f>LoRa_TimerHandshaking!J32</f>
        <v>0</v>
      </c>
    </row>
    <row r="33" spans="2:10" x14ac:dyDescent="0.25">
      <c r="B33" t="e">
        <f>#REF!</f>
        <v>#REF!</v>
      </c>
      <c r="C33" t="str">
        <f>LoRa_TimerHandshaking!C33</f>
        <v>SyncWord</v>
      </c>
      <c r="D33" s="2" t="str">
        <f>LoRa_TimerHandshaking!D33</f>
        <v>LoRa_syncWord</v>
      </c>
      <c r="E33">
        <f>LoRa_TimerHandshaking!E33</f>
        <v>0</v>
      </c>
      <c r="F33">
        <f>LoRa_TimerHandshaking!F33</f>
        <v>0</v>
      </c>
      <c r="G33">
        <f>LoRa_TimerHandshaking!G33</f>
        <v>0</v>
      </c>
      <c r="H33">
        <f>LoRa_TimerHandshaking!H33</f>
        <v>0</v>
      </c>
      <c r="I33" s="2">
        <f>LoRa_TimerHandshaking!I33</f>
        <v>0</v>
      </c>
      <c r="J33">
        <f>LoRa_TimerHandshaking!J33</f>
        <v>0</v>
      </c>
    </row>
    <row r="34" spans="2:10" x14ac:dyDescent="0.25">
      <c r="B34" t="e">
        <f>#REF!</f>
        <v>#REF!</v>
      </c>
      <c r="C34" t="str">
        <f>LoRa_TimerHandshaking!C34</f>
        <v>CRC</v>
      </c>
      <c r="D34" s="2" t="str">
        <f>LoRa_TimerHandshaking!D34</f>
        <v>ENABLED</v>
      </c>
      <c r="E34">
        <f>LoRa_TimerHandshaking!E34</f>
        <v>0</v>
      </c>
      <c r="F34">
        <f>LoRa_TimerHandshaking!F34</f>
        <v>0</v>
      </c>
      <c r="G34" t="str">
        <f>LoRa_TimerHandshaking!G34</f>
        <v>uint32_t</v>
      </c>
      <c r="H34" t="str">
        <f>LoRa_TimerHandshaking!H34</f>
        <v>frequency</v>
      </c>
      <c r="I34" s="2" t="str">
        <f>LoRa_TimerHandshaking!I34</f>
        <v>LoRa_ch0_params.frequency</v>
      </c>
      <c r="J34">
        <f>LoRa_TimerHandshaking!J34</f>
        <v>0</v>
      </c>
    </row>
    <row r="35" spans="2:10" x14ac:dyDescent="0.25">
      <c r="B35" t="e">
        <f>#REF!</f>
        <v>#REF!</v>
      </c>
      <c r="C35" t="str">
        <f>LoRa_TimerHandshaking!C35</f>
        <v>IQInverted</v>
      </c>
      <c r="D35" s="2" t="str">
        <f>LoRa_TimerHandshaking!D35</f>
        <v>DISABLED</v>
      </c>
      <c r="E35">
        <f>LoRa_TimerHandshaking!E35</f>
        <v>0</v>
      </c>
      <c r="F35">
        <f>LoRa_TimerHandshaking!F35</f>
        <v>0</v>
      </c>
      <c r="G35" t="str">
        <f>LoRa_TimerHandshaking!G35</f>
        <v>uint32_t</v>
      </c>
      <c r="H35" t="str">
        <f>LoRa_TimerHandshaking!H35</f>
        <v>frequencyDeviation</v>
      </c>
      <c r="I35" s="2">
        <f>LoRa_TimerHandshaking!I35</f>
        <v>25000</v>
      </c>
      <c r="J35">
        <f>LoRa_TimerHandshaking!J35</f>
        <v>0</v>
      </c>
    </row>
    <row r="36" spans="2:10" x14ac:dyDescent="0.25">
      <c r="B36" t="e">
        <f>#REF!</f>
        <v>#REF!</v>
      </c>
      <c r="C36" t="str">
        <f>LoRa_TimerHandshaking!C36</f>
        <v>HopPeriod</v>
      </c>
      <c r="D36" s="2" t="str">
        <f>LoRa_TimerHandshaking!D36</f>
        <v>DISABLED</v>
      </c>
      <c r="E36">
        <f>LoRa_TimerHandshaking!E36</f>
        <v>0</v>
      </c>
      <c r="F36">
        <f>LoRa_TimerHandshaking!F36</f>
        <v>0</v>
      </c>
      <c r="G36" t="str">
        <f>LoRa_TimerHandshaking!G36</f>
        <v>uint32_t</v>
      </c>
      <c r="H36" t="str">
        <f>LoRa_TimerHandshaking!H36</f>
        <v>bitRate</v>
      </c>
      <c r="I36" s="2">
        <f>LoRa_TimerHandshaking!I36</f>
        <v>50000</v>
      </c>
      <c r="J36">
        <f>LoRa_TimerHandshaking!J36</f>
        <v>0</v>
      </c>
    </row>
    <row r="37" spans="2:10" x14ac:dyDescent="0.25">
      <c r="B37" t="e">
        <f>#REF!</f>
        <v>#REF!</v>
      </c>
      <c r="C37" t="str">
        <f>LoRa_TimerHandshaking!C37</f>
        <v>errorCodingRate</v>
      </c>
      <c r="D37" s="2" t="str">
        <f>LoRa_TimerHandshaking!D37</f>
        <v>CR_4_5</v>
      </c>
      <c r="E37">
        <f>LoRa_TimerHandshaking!E37</f>
        <v>0</v>
      </c>
      <c r="F37">
        <f>LoRa_TimerHandshaking!F37</f>
        <v>0</v>
      </c>
      <c r="G37" t="str">
        <f>LoRa_TimerHandshaking!G37</f>
        <v>uint16_t</v>
      </c>
      <c r="H37" t="str">
        <f>LoRa_TimerHandshaking!H37</f>
        <v>preambleLen</v>
      </c>
      <c r="I37" s="2">
        <f>LoRa_TimerHandshaking!I37</f>
        <v>8</v>
      </c>
      <c r="J37">
        <f>LoRa_TimerHandshaking!J37</f>
        <v>0</v>
      </c>
    </row>
    <row r="38" spans="2:10" x14ac:dyDescent="0.25">
      <c r="B38" t="e">
        <f>#REF!</f>
        <v>#REF!</v>
      </c>
      <c r="C38" t="str">
        <f>LoRa_TimerHandshaking!C38</f>
        <v>implicitHeaderMode</v>
      </c>
      <c r="D38" s="2" t="str">
        <f>LoRa_TimerHandshaking!D38</f>
        <v>0</v>
      </c>
      <c r="E38">
        <f>LoRa_TimerHandshaking!E38</f>
        <v>0</v>
      </c>
      <c r="F38">
        <f>LoRa_TimerHandshaking!F38</f>
        <v>0</v>
      </c>
      <c r="G38" t="str">
        <f>LoRa_TimerHandshaking!G38</f>
        <v>uint8_t</v>
      </c>
      <c r="H38" t="str">
        <f>LoRa_TimerHandshaking!H38</f>
        <v>syncWordLoRa</v>
      </c>
      <c r="I38" s="2" t="str">
        <f>LoRa_TimerHandshaking!I38</f>
        <v>LoRa_syncWord</v>
      </c>
      <c r="J38">
        <f>LoRa_TimerHandshaking!J38</f>
        <v>0</v>
      </c>
    </row>
    <row r="39" spans="2:10" x14ac:dyDescent="0.25">
      <c r="B39" t="e">
        <f>#REF!</f>
        <v>#REF!</v>
      </c>
      <c r="C39" t="str">
        <f>LoRa_TimerHandshaking!C39</f>
        <v>preambleLen</v>
      </c>
      <c r="D39" s="2">
        <f>LoRa_TimerHandshaking!D39</f>
        <v>8</v>
      </c>
      <c r="E39">
        <f>LoRa_TimerHandshaking!E39</f>
        <v>0</v>
      </c>
      <c r="F39">
        <f>LoRa_TimerHandshaking!F39</f>
        <v>0</v>
      </c>
      <c r="G39" t="str">
        <f>LoRa_TimerHandshaking!G39</f>
        <v>uint8_t</v>
      </c>
      <c r="H39" t="str">
        <f>LoRa_TimerHandshaking!H39</f>
        <v>syncWord</v>
      </c>
      <c r="I39" s="2" t="str">
        <f>LoRa_TimerHandshaking!I39</f>
        <v>0xc1 0x94 0xc1</v>
      </c>
      <c r="J39">
        <f>LoRa_TimerHandshaking!J39</f>
        <v>0</v>
      </c>
    </row>
    <row r="40" spans="2:10" x14ac:dyDescent="0.25">
      <c r="B40" t="e">
        <f>#REF!</f>
        <v>#REF!</v>
      </c>
      <c r="C40" t="str">
        <f>LoRa_TimerHandshaking!C40</f>
        <v>symbolTimeout</v>
      </c>
      <c r="D40" s="2">
        <f>LoRa_TimerHandshaking!D40</f>
        <v>4</v>
      </c>
      <c r="E40">
        <f>LoRa_TimerHandshaking!E40</f>
        <v>0</v>
      </c>
      <c r="F40">
        <f>LoRa_TimerHandshaking!F40</f>
        <v>0</v>
      </c>
      <c r="G40" t="str">
        <f>LoRa_TimerHandshaking!G40</f>
        <v>uint8_t</v>
      </c>
      <c r="H40" t="str">
        <f>LoRa_TimerHandshaking!H40</f>
        <v>syncWordLen</v>
      </c>
      <c r="I40" s="2">
        <f>LoRa_TimerHandshaking!I40</f>
        <v>3</v>
      </c>
      <c r="J40">
        <f>LoRa_TimerHandshaking!J40</f>
        <v>0</v>
      </c>
    </row>
    <row r="41" spans="2:10" x14ac:dyDescent="0.25">
      <c r="B41" t="e">
        <f>#REF!</f>
        <v>#REF!</v>
      </c>
      <c r="C41" t="str">
        <f>LoRa_TimerHandshaking!C41</f>
        <v>FSKfreqDeviation</v>
      </c>
      <c r="D41" s="2">
        <f>LoRa_TimerHandshaking!D41</f>
        <v>25000</v>
      </c>
      <c r="E41">
        <f>LoRa_TimerHandshaking!E41</f>
        <v>0</v>
      </c>
      <c r="F41">
        <f>LoRa_TimerHandshaking!F41</f>
        <v>0</v>
      </c>
      <c r="G41" t="str">
        <f>LoRa_TimerHandshaking!G41</f>
        <v>RadioModulation_t</v>
      </c>
      <c r="H41" t="str">
        <f>LoRa_TimerHandshaking!H41</f>
        <v>modulation</v>
      </c>
      <c r="I41" s="2" t="str">
        <f>LoRa_TimerHandshaking!I41</f>
        <v>modulation[LoRa_ch0_params.dataRate]</v>
      </c>
      <c r="J41">
        <f>LoRa_TimerHandshaking!J41</f>
        <v>0</v>
      </c>
    </row>
    <row r="42" spans="2:10" x14ac:dyDescent="0.25">
      <c r="B42" t="e">
        <f>#REF!</f>
        <v>#REF!</v>
      </c>
      <c r="C42" t="str">
        <f>LoRa_TimerHandshaking!C42</f>
        <v>FSKBitRate</v>
      </c>
      <c r="D42" s="2">
        <f>LoRa_TimerHandshaking!D42</f>
        <v>50000</v>
      </c>
      <c r="E42">
        <f>LoRa_TimerHandshaking!E42</f>
        <v>0</v>
      </c>
      <c r="F42">
        <f>LoRa_TimerHandshaking!F42</f>
        <v>0</v>
      </c>
      <c r="G42" t="str">
        <f>LoRa_TimerHandshaking!G42</f>
        <v>RadioDataRate_t</v>
      </c>
      <c r="H42" t="str">
        <f>LoRa_TimerHandshaking!H42</f>
        <v>dataRate</v>
      </c>
      <c r="I42" s="2" t="str">
        <f>LoRa_TimerHandshaking!I42</f>
        <v>spreadingFactor[LoRa_ch0_params.dataRate]</v>
      </c>
      <c r="J42">
        <f>LoRa_TimerHandshaking!J42</f>
        <v>0</v>
      </c>
    </row>
    <row r="43" spans="2:10" x14ac:dyDescent="0.25">
      <c r="B43" t="e">
        <f>#REF!</f>
        <v>#REF!</v>
      </c>
      <c r="C43" t="str">
        <f>LoRa_TimerHandshaking!C43</f>
        <v>FSK_PREAMBLE</v>
      </c>
      <c r="D43" s="2">
        <f>LoRa_TimerHandshaking!D43</f>
        <v>8</v>
      </c>
      <c r="E43">
        <f>LoRa_TimerHandshaking!E43</f>
        <v>0</v>
      </c>
      <c r="F43">
        <f>LoRa_TimerHandshaking!F43</f>
        <v>0</v>
      </c>
      <c r="G43" t="str">
        <f>LoRa_TimerHandshaking!G43</f>
        <v>RadioLoRaBandWidth_t</v>
      </c>
      <c r="H43" t="str">
        <f>LoRa_TimerHandshaking!H43</f>
        <v>bandWidth</v>
      </c>
      <c r="I43" s="2" t="str">
        <f>LoRa_TimerHandshaking!I43</f>
        <v>bandwidth[LoRa_ch0_params.dataRate]</v>
      </c>
      <c r="J43">
        <f>LoRa_TimerHandshaking!J43</f>
        <v>0</v>
      </c>
    </row>
    <row r="44" spans="2:10" x14ac:dyDescent="0.25">
      <c r="B44" t="e">
        <f>#REF!</f>
        <v>#REF!</v>
      </c>
      <c r="C44" t="str">
        <f>LoRa_TimerHandshaking!C44</f>
        <v>fskDataShaping</v>
      </c>
      <c r="D44" s="2" t="str">
        <f>LoRa_TimerHandshaking!D44</f>
        <v>FSK_SHAPING_GAUSS_BT_0_5</v>
      </c>
      <c r="E44">
        <f>LoRa_TimerHandshaking!E44</f>
        <v>0</v>
      </c>
      <c r="F44">
        <f>LoRa_TimerHandshaking!F44</f>
        <v>0</v>
      </c>
      <c r="G44" t="str">
        <f>LoRa_TimerHandshaking!G44</f>
        <v>int8_t</v>
      </c>
      <c r="H44" t="str">
        <f>LoRa_TimerHandshaking!H44</f>
        <v>outputPower</v>
      </c>
      <c r="I44" s="2" t="str">
        <f>LoRa_TimerHandshaking!I44</f>
        <v>txPower868[LoRa_txPower]</v>
      </c>
      <c r="J44">
        <f>LoRa_TimerHandshaking!J44</f>
        <v>0</v>
      </c>
    </row>
    <row r="45" spans="2:10" x14ac:dyDescent="0.25">
      <c r="B45" t="e">
        <f>#REF!</f>
        <v>#REF!</v>
      </c>
      <c r="C45">
        <f>LoRa_TimerHandshaking!C45</f>
        <v>0</v>
      </c>
      <c r="D45" s="2">
        <f>LoRa_TimerHandshaking!D45</f>
        <v>0</v>
      </c>
      <c r="E45">
        <f>LoRa_TimerHandshaking!E45</f>
        <v>0</v>
      </c>
      <c r="F45">
        <f>LoRa_TimerHandshaking!F45</f>
        <v>0</v>
      </c>
      <c r="G45" t="str">
        <f>LoRa_TimerHandshaking!G45</f>
        <v>uint8_t</v>
      </c>
      <c r="H45" t="str">
        <f>LoRa_TimerHandshaking!H45</f>
        <v>crcOn</v>
      </c>
      <c r="I45" s="2" t="str">
        <f>LoRa_TimerHandshaking!I45</f>
        <v>ENABLED</v>
      </c>
      <c r="J45">
        <f>LoRa_TimerHandshaking!J45</f>
        <v>0</v>
      </c>
    </row>
    <row r="46" spans="2:10" x14ac:dyDescent="0.25">
      <c r="B46" t="e">
        <f>#REF!</f>
        <v>#REF!</v>
      </c>
      <c r="C46">
        <f>LoRa_TimerHandshaking!C46</f>
        <v>0</v>
      </c>
      <c r="D46" s="2">
        <f>LoRa_TimerHandshaking!D46</f>
        <v>0</v>
      </c>
      <c r="E46">
        <f>LoRa_TimerHandshaking!E46</f>
        <v>0</v>
      </c>
      <c r="F46">
        <f>LoRa_TimerHandshaking!F46</f>
        <v>0</v>
      </c>
      <c r="G46" t="str">
        <f>LoRa_TimerHandshaking!G46</f>
        <v>uint8_t</v>
      </c>
      <c r="H46" t="str">
        <f>LoRa_TimerHandshaking!H46</f>
        <v>paBoost</v>
      </c>
      <c r="I46" s="2" t="str">
        <f>LoRa_TimerHandshaking!I46</f>
        <v>0</v>
      </c>
      <c r="J46">
        <f>LoRa_TimerHandshaking!J46</f>
        <v>0</v>
      </c>
    </row>
    <row r="47" spans="2:10" x14ac:dyDescent="0.25">
      <c r="B47" t="e">
        <f>#REF!</f>
        <v>#REF!</v>
      </c>
      <c r="C47">
        <f>LoRa_TimerHandshaking!C47</f>
        <v>0</v>
      </c>
      <c r="D47" s="2">
        <f>LoRa_TimerHandshaking!D47</f>
        <v>0</v>
      </c>
      <c r="E47">
        <f>LoRa_TimerHandshaking!E47</f>
        <v>0</v>
      </c>
      <c r="F47">
        <f>LoRa_TimerHandshaking!F47</f>
        <v>0</v>
      </c>
      <c r="G47" t="str">
        <f>LoRa_TimerHandshaking!G47</f>
        <v>uint8_t</v>
      </c>
      <c r="H47" t="str">
        <f>LoRa_TimerHandshaking!H47</f>
        <v>flags</v>
      </c>
      <c r="I47" s="2" t="str">
        <f>LoRa_TimerHandshaking!I47</f>
        <v>0</v>
      </c>
      <c r="J47" t="str">
        <f>LoRa_TimerHandshaking!J47</f>
        <v>RADIO_FLAG_TRANSMITTING</v>
      </c>
    </row>
    <row r="48" spans="2:10" x14ac:dyDescent="0.25">
      <c r="B48" t="e">
        <f>#REF!</f>
        <v>#REF!</v>
      </c>
      <c r="C48">
        <f>LoRa_TimerHandshaking!C48</f>
        <v>0</v>
      </c>
      <c r="D48" s="2">
        <f>LoRa_TimerHandshaking!D48</f>
        <v>0</v>
      </c>
      <c r="E48">
        <f>LoRa_TimerHandshaking!E48</f>
        <v>0</v>
      </c>
      <c r="F48">
        <f>LoRa_TimerHandshaking!F48</f>
        <v>0</v>
      </c>
      <c r="G48" t="str">
        <f>LoRa_TimerHandshaking!G48</f>
        <v>uint16_t</v>
      </c>
      <c r="H48" t="str">
        <f>LoRa_TimerHandshaking!H48</f>
        <v>frequencyHopPeriod</v>
      </c>
      <c r="I48" s="2" t="str">
        <f>LoRa_TimerHandshaking!I48</f>
        <v>DISABLED</v>
      </c>
      <c r="J48">
        <f>LoRa_TimerHandshaking!J48</f>
        <v>0</v>
      </c>
    </row>
    <row r="49" spans="2:10" x14ac:dyDescent="0.25">
      <c r="B49" t="e">
        <f>#REF!</f>
        <v>#REF!</v>
      </c>
      <c r="C49">
        <f>LoRa_TimerHandshaking!C49</f>
        <v>0</v>
      </c>
      <c r="D49" s="2">
        <f>LoRa_TimerHandshaking!D49</f>
        <v>0</v>
      </c>
      <c r="E49">
        <f>LoRa_TimerHandshaking!E49</f>
        <v>0</v>
      </c>
      <c r="F49">
        <f>LoRa_TimerHandshaking!F49</f>
        <v>0</v>
      </c>
      <c r="G49" t="str">
        <f>LoRa_TimerHandshaking!G49</f>
        <v>uint8_t</v>
      </c>
      <c r="H49" t="str">
        <f>LoRa_TimerHandshaking!H49</f>
        <v>iqInverted</v>
      </c>
      <c r="I49" s="2" t="str">
        <f>LoRa_TimerHandshaking!I49</f>
        <v>DISABLED</v>
      </c>
      <c r="J49">
        <f>LoRa_TimerHandshaking!J49</f>
        <v>0</v>
      </c>
    </row>
    <row r="50" spans="2:10" x14ac:dyDescent="0.25">
      <c r="B50" t="e">
        <f>#REF!</f>
        <v>#REF!</v>
      </c>
      <c r="C50">
        <f>LoRa_TimerHandshaking!C50</f>
        <v>0</v>
      </c>
      <c r="D50" s="2">
        <f>LoRa_TimerHandshaking!D50</f>
        <v>0</v>
      </c>
      <c r="E50">
        <f>LoRa_TimerHandshaking!E50</f>
        <v>0</v>
      </c>
      <c r="F50">
        <f>LoRa_TimerHandshaking!F50</f>
        <v>0</v>
      </c>
      <c r="G50" t="str">
        <f>LoRa_TimerHandshaking!G50</f>
        <v>RadioErrorCodingRate_t</v>
      </c>
      <c r="H50" t="str">
        <f>LoRa_TimerHandshaking!H50</f>
        <v>errorCodingRate</v>
      </c>
      <c r="I50" s="2" t="str">
        <f>LoRa_TimerHandshaking!I50</f>
        <v>CR_4_5</v>
      </c>
      <c r="J50">
        <f>LoRa_TimerHandshaking!J50</f>
        <v>0</v>
      </c>
    </row>
    <row r="51" spans="2:10" x14ac:dyDescent="0.25">
      <c r="B51" t="e">
        <f>#REF!</f>
        <v>#REF!</v>
      </c>
      <c r="C51">
        <f>LoRa_TimerHandshaking!C51</f>
        <v>0</v>
      </c>
      <c r="D51" s="2">
        <f>LoRa_TimerHandshaking!D51</f>
        <v>0</v>
      </c>
      <c r="E51">
        <f>LoRa_TimerHandshaking!E51</f>
        <v>0</v>
      </c>
      <c r="F51">
        <f>LoRa_TimerHandshaking!F51</f>
        <v>0</v>
      </c>
      <c r="G51" t="str">
        <f>LoRa_TimerHandshaking!G51</f>
        <v>uint8_t</v>
      </c>
      <c r="H51" t="str">
        <f>LoRa_TimerHandshaking!H51</f>
        <v>implicitHeaderMode</v>
      </c>
      <c r="I51" s="2" t="str">
        <f>LoRa_TimerHandshaking!I51</f>
        <v>0</v>
      </c>
      <c r="J51">
        <f>LoRa_TimerHandshaking!J51</f>
        <v>0</v>
      </c>
    </row>
    <row r="52" spans="2:10" x14ac:dyDescent="0.25">
      <c r="B52" t="e">
        <f>#REF!</f>
        <v>#REF!</v>
      </c>
      <c r="C52">
        <f>LoRa_TimerHandshaking!C52</f>
        <v>0</v>
      </c>
      <c r="D52" s="2">
        <f>LoRa_TimerHandshaking!D52</f>
        <v>0</v>
      </c>
      <c r="E52">
        <f>LoRa_TimerHandshaking!E52</f>
        <v>0</v>
      </c>
      <c r="F52">
        <f>LoRa_TimerHandshaking!F52</f>
        <v>0</v>
      </c>
      <c r="G52">
        <f>LoRa_TimerHandshaking!G52</f>
        <v>0</v>
      </c>
      <c r="H52">
        <f>LoRa_TimerHandshaking!H52</f>
        <v>0</v>
      </c>
      <c r="I52" s="2">
        <f>LoRa_TimerHandshaking!I52</f>
        <v>0</v>
      </c>
      <c r="J52">
        <f>LoRa_TimerHandshaking!J52</f>
        <v>0</v>
      </c>
    </row>
    <row r="53" spans="2:10" x14ac:dyDescent="0.25">
      <c r="B53" t="e">
        <f>#REF!</f>
        <v>#REF!</v>
      </c>
      <c r="C53">
        <f>LoRa_TimerHandshaking!C53</f>
        <v>0</v>
      </c>
      <c r="D53" s="2">
        <f>LoRa_TimerHandshaking!D53</f>
        <v>0</v>
      </c>
      <c r="E53">
        <f>LoRa_TimerHandshaking!E53</f>
        <v>0</v>
      </c>
      <c r="F53">
        <f>LoRa_TimerHandshaking!F53</f>
        <v>0</v>
      </c>
      <c r="G53" t="str">
        <f>LoRa_TimerHandshaking!G53</f>
        <v>uint8_t</v>
      </c>
      <c r="H53" t="str">
        <f>LoRa_TimerHandshaking!H53</f>
        <v>dataBufferLen</v>
      </c>
      <c r="I53" s="2" t="str">
        <f>LoRa_TimerHandshaking!I53</f>
        <v>0</v>
      </c>
      <c r="J53">
        <f>LoRa_TimerHandshaking!J53</f>
        <v>0</v>
      </c>
    </row>
    <row r="54" spans="2:10" x14ac:dyDescent="0.25">
      <c r="B54" t="e">
        <f>#REF!</f>
        <v>#REF!</v>
      </c>
      <c r="C54">
        <f>LoRa_TimerHandshaking!C54</f>
        <v>0</v>
      </c>
      <c r="D54" s="2">
        <f>LoRa_TimerHandshaking!D54</f>
        <v>0</v>
      </c>
      <c r="E54">
        <f>LoRa_TimerHandshaking!E54</f>
        <v>0</v>
      </c>
      <c r="F54">
        <f>LoRa_TimerHandshaking!F54</f>
        <v>0</v>
      </c>
      <c r="G54" t="str">
        <f>LoRa_TimerHandshaking!G54</f>
        <v>uint8_t *</v>
      </c>
      <c r="H54" t="str">
        <f>LoRa_TimerHandshaking!H54</f>
        <v>dataBuffer</v>
      </c>
      <c r="I54" s="2" t="str">
        <f>LoRa_TimerHandshaking!I54</f>
        <v>LoRa_radioBuffer</v>
      </c>
      <c r="J54">
        <f>LoRa_TimerHandshaking!J54</f>
        <v>0</v>
      </c>
    </row>
    <row r="55" spans="2:10" x14ac:dyDescent="0.25">
      <c r="B55" t="e">
        <f>#REF!</f>
        <v>#REF!</v>
      </c>
      <c r="C55">
        <f>LoRa_TimerHandshaking!C55</f>
        <v>0</v>
      </c>
      <c r="D55" s="2">
        <f>LoRa_TimerHandshaking!D55</f>
        <v>0</v>
      </c>
      <c r="E55">
        <f>LoRa_TimerHandshaking!E55</f>
        <v>0</v>
      </c>
      <c r="F55">
        <f>LoRa_TimerHandshaking!F55</f>
        <v>0</v>
      </c>
      <c r="G55" t="str">
        <f>LoRa_TimerHandshaking!G55</f>
        <v>uint8_t</v>
      </c>
      <c r="H55" t="str">
        <f>LoRa_TimerHandshaking!H55</f>
        <v>timeOnAirTimerId</v>
      </c>
      <c r="I55" s="2" t="str">
        <f>LoRa_TimerHandshaking!I55</f>
        <v>0</v>
      </c>
      <c r="J55">
        <f>LoRa_TimerHandshaking!J55</f>
        <v>0</v>
      </c>
    </row>
    <row r="56" spans="2:10" x14ac:dyDescent="0.25">
      <c r="B56" t="e">
        <f>#REF!</f>
        <v>#REF!</v>
      </c>
      <c r="C56">
        <f>LoRa_TimerHandshaking!C56</f>
        <v>0</v>
      </c>
      <c r="D56" s="2">
        <f>LoRa_TimerHandshaking!D56</f>
        <v>0</v>
      </c>
      <c r="E56">
        <f>LoRa_TimerHandshaking!E56</f>
        <v>0</v>
      </c>
      <c r="F56">
        <f>LoRa_TimerHandshaking!F56</f>
        <v>0</v>
      </c>
      <c r="G56" t="str">
        <f>LoRa_TimerHandshaking!G56</f>
        <v>uint8_t</v>
      </c>
      <c r="H56" t="str">
        <f>LoRa_TimerHandshaking!H56</f>
        <v>fskRxWindowTimerId</v>
      </c>
      <c r="I56" s="2" t="str">
        <f>LoRa_TimerHandshaking!I56</f>
        <v>0</v>
      </c>
      <c r="J56" t="str">
        <f>LoRa_TimerHandshaking!J56</f>
        <v>RADIO_RxFSKTimeout</v>
      </c>
    </row>
    <row r="57" spans="2:10" x14ac:dyDescent="0.25">
      <c r="B57" t="e">
        <f>#REF!</f>
        <v>#REF!</v>
      </c>
      <c r="C57">
        <f>LoRa_TimerHandshaking!C57</f>
        <v>0</v>
      </c>
      <c r="D57" s="2">
        <f>LoRa_TimerHandshaking!D57</f>
        <v>0</v>
      </c>
      <c r="E57">
        <f>LoRa_TimerHandshaking!E57</f>
        <v>0</v>
      </c>
      <c r="F57">
        <f>LoRa_TimerHandshaking!F57</f>
        <v>0</v>
      </c>
      <c r="G57" t="str">
        <f>LoRa_TimerHandshaking!G57</f>
        <v>uint8_t</v>
      </c>
      <c r="H57" t="str">
        <f>LoRa_TimerHandshaking!H57</f>
        <v>watchdogTimerId</v>
      </c>
      <c r="I57" s="2" t="str">
        <f>LoRa_TimerHandshaking!I57</f>
        <v>0</v>
      </c>
      <c r="J57" t="str">
        <f>LoRa_TimerHandshaking!J57</f>
        <v>RADIO_WatchdogTimeout</v>
      </c>
    </row>
    <row r="58" spans="2:10" x14ac:dyDescent="0.25">
      <c r="B58" t="e">
        <f>#REF!</f>
        <v>#REF!</v>
      </c>
      <c r="C58">
        <f>LoRa_TimerHandshaking!C58</f>
        <v>0</v>
      </c>
      <c r="D58" s="2">
        <f>LoRa_TimerHandshaking!D58</f>
        <v>0</v>
      </c>
      <c r="E58">
        <f>LoRa_TimerHandshaking!E58</f>
        <v>0</v>
      </c>
      <c r="F58">
        <f>LoRa_TimerHandshaking!F58</f>
        <v>0</v>
      </c>
      <c r="G58" t="str">
        <f>LoRa_TimerHandshaking!G58</f>
        <v>uint32_t</v>
      </c>
      <c r="H58" t="str">
        <f>LoRa_TimerHandshaking!H58</f>
        <v>watchdogTimerTimeout</v>
      </c>
      <c r="I58" s="2" t="str">
        <f>LoRa_TimerHandshaking!I58</f>
        <v>WATCHDOG_DEFAULT_TIME</v>
      </c>
      <c r="J58">
        <f>LoRa_TimerHandshaking!J58</f>
        <v>0</v>
      </c>
    </row>
    <row r="59" spans="2:10" x14ac:dyDescent="0.25">
      <c r="B59" t="e">
        <f>#REF!</f>
        <v>#REF!</v>
      </c>
      <c r="C59">
        <f>LoRa_TimerHandshaking!C59</f>
        <v>0</v>
      </c>
      <c r="D59" s="2">
        <f>LoRa_TimerHandshaking!D59</f>
        <v>0</v>
      </c>
      <c r="E59">
        <f>LoRa_TimerHandshaking!E59</f>
        <v>0</v>
      </c>
      <c r="F59">
        <f>LoRa_TimerHandshaking!F59</f>
        <v>0</v>
      </c>
      <c r="G59" t="str">
        <f>LoRa_TimerHandshaking!G59</f>
        <v>uint8_t</v>
      </c>
      <c r="H59" t="str">
        <f>LoRa_TimerHandshaking!H59</f>
        <v>initialized</v>
      </c>
      <c r="I59" s="2">
        <f>LoRa_TimerHandshaking!I59</f>
        <v>1</v>
      </c>
      <c r="J59">
        <f>LoRa_TimerHandshaking!J59</f>
        <v>0</v>
      </c>
    </row>
    <row r="60" spans="2:10" x14ac:dyDescent="0.25">
      <c r="B60" t="e">
        <f>#REF!</f>
        <v>#REF!</v>
      </c>
      <c r="C60">
        <f>LoRa_TimerHandshaking!C60</f>
        <v>0</v>
      </c>
      <c r="D60" s="2">
        <f>LoRa_TimerHandshaking!D60</f>
        <v>0</v>
      </c>
      <c r="E60">
        <f>LoRa_TimerHandshaking!E60</f>
        <v>0</v>
      </c>
      <c r="F60">
        <f>LoRa_TimerHandshaking!F60</f>
        <v>0</v>
      </c>
      <c r="G60" t="str">
        <f>LoRa_TimerHandshaking!G60</f>
        <v>uint32_t</v>
      </c>
      <c r="H60" t="str">
        <f>LoRa_TimerHandshaking!H60</f>
        <v>fhssNextFrequency</v>
      </c>
      <c r="I60" s="2" t="str">
        <f>LoRa_TimerHandshaking!I60</f>
        <v>NULL</v>
      </c>
      <c r="J60">
        <f>LoRa_TimerHandshaking!J60</f>
        <v>0</v>
      </c>
    </row>
    <row r="61" spans="2:10" x14ac:dyDescent="0.25">
      <c r="B61" t="e">
        <f>#REF!</f>
        <v>#REF!</v>
      </c>
      <c r="C61">
        <f>LoRa_TimerHandshaking!C61</f>
        <v>0</v>
      </c>
      <c r="D61" s="2">
        <f>LoRa_TimerHandshaking!D61</f>
        <v>0</v>
      </c>
      <c r="E61">
        <f>LoRa_TimerHandshaking!E61</f>
        <v>0</v>
      </c>
      <c r="F61">
        <f>LoRa_TimerHandshaking!F61</f>
        <v>0</v>
      </c>
      <c r="G61" t="str">
        <f>LoRa_TimerHandshaking!G61</f>
        <v>uint8_t</v>
      </c>
      <c r="H61" t="str">
        <f>LoRa_TimerHandshaking!H61</f>
        <v>regVersion</v>
      </c>
      <c r="I61" s="2" t="str">
        <f>LoRa_TimerHandshaking!I61</f>
        <v>REG_VERSION</v>
      </c>
      <c r="J61">
        <f>LoRa_TimerHandshaking!J61</f>
        <v>0</v>
      </c>
    </row>
    <row r="62" spans="2:10" x14ac:dyDescent="0.25">
      <c r="B62" t="e">
        <f>#REF!</f>
        <v>#REF!</v>
      </c>
      <c r="C62">
        <f>LoRa_TimerHandshaking!C62</f>
        <v>0</v>
      </c>
      <c r="D62" s="2">
        <f>LoRa_TimerHandshaking!D62</f>
        <v>0</v>
      </c>
      <c r="E62">
        <f>LoRa_TimerHandshaking!E62</f>
        <v>0</v>
      </c>
      <c r="F62">
        <f>LoRa_TimerHandshaking!F62</f>
        <v>0</v>
      </c>
      <c r="G62" t="str">
        <f>LoRa_TimerHandshaking!G62</f>
        <v>int8_t</v>
      </c>
      <c r="H62" t="str">
        <f>LoRa_TimerHandshaking!H62</f>
        <v>packetSNR</v>
      </c>
      <c r="I62" s="2">
        <f>LoRa_TimerHandshaking!I62</f>
        <v>-128</v>
      </c>
      <c r="J62">
        <f>LoRa_TimerHandshaking!J62</f>
        <v>0</v>
      </c>
    </row>
    <row r="63" spans="2:10" x14ac:dyDescent="0.25">
      <c r="B63" t="e">
        <f>#REF!</f>
        <v>#REF!</v>
      </c>
      <c r="C63">
        <f>LoRa_TimerHandshaking!C63</f>
        <v>0</v>
      </c>
      <c r="D63" s="2">
        <f>LoRa_TimerHandshaking!D63</f>
        <v>0</v>
      </c>
      <c r="E63">
        <f>LoRa_TimerHandshaking!E63</f>
        <v>0</v>
      </c>
      <c r="F63">
        <f>LoRa_TimerHandshaking!F63</f>
        <v>0</v>
      </c>
      <c r="G63" t="str">
        <f>LoRa_TimerHandshaking!G63</f>
        <v>RadioFSKShaping_t</v>
      </c>
      <c r="H63" t="str">
        <f>LoRa_TimerHandshaking!H63</f>
        <v>fskDataShaping</v>
      </c>
      <c r="I63" s="2" t="str">
        <f>LoRa_TimerHandshaking!I63</f>
        <v>FSK_SHAPING_GAUSS_BT_0_5</v>
      </c>
      <c r="J63">
        <f>LoRa_TimerHandshaking!J63</f>
        <v>0</v>
      </c>
    </row>
    <row r="64" spans="2:10" x14ac:dyDescent="0.25">
      <c r="B64" t="e">
        <f>#REF!</f>
        <v>#REF!</v>
      </c>
      <c r="C64">
        <f>LoRa_TimerHandshaking!C64</f>
        <v>0</v>
      </c>
      <c r="D64" s="2">
        <f>LoRa_TimerHandshaking!D64</f>
        <v>0</v>
      </c>
      <c r="E64">
        <f>LoRa_TimerHandshaking!E64</f>
        <v>0</v>
      </c>
      <c r="F64">
        <f>LoRa_TimerHandshaking!F64</f>
        <v>0</v>
      </c>
      <c r="G64" t="str">
        <f>LoRa_TimerHandshaking!G64</f>
        <v>RadioFSKBandWidth_t</v>
      </c>
      <c r="H64" t="str">
        <f>LoRa_TimerHandshaking!H64</f>
        <v>rxBw</v>
      </c>
      <c r="I64" s="2" t="str">
        <f>LoRa_TimerHandshaking!I64</f>
        <v>FSKBW_50_0KHZ</v>
      </c>
      <c r="J64">
        <f>LoRa_TimerHandshaking!J64</f>
        <v>0</v>
      </c>
    </row>
    <row r="65" spans="2:10" x14ac:dyDescent="0.25">
      <c r="B65" t="e">
        <f>#REF!</f>
        <v>#REF!</v>
      </c>
      <c r="C65">
        <f>LoRa_TimerHandshaking!C65</f>
        <v>0</v>
      </c>
      <c r="D65" s="2">
        <f>LoRa_TimerHandshaking!D65</f>
        <v>0</v>
      </c>
      <c r="E65">
        <f>LoRa_TimerHandshaking!E65</f>
        <v>0</v>
      </c>
      <c r="F65">
        <f>LoRa_TimerHandshaking!F65</f>
        <v>0</v>
      </c>
      <c r="G65" t="str">
        <f>LoRa_TimerHandshaking!G65</f>
        <v>RadioFSKBandWidth_t</v>
      </c>
      <c r="H65" t="str">
        <f>LoRa_TimerHandshaking!H65</f>
        <v>afcBw</v>
      </c>
      <c r="I65" s="2" t="str">
        <f>LoRa_TimerHandshaking!I65</f>
        <v>FSKBW_83_3KHZ</v>
      </c>
      <c r="J65">
        <f>LoRa_TimerHandshaking!J65</f>
        <v>0</v>
      </c>
    </row>
    <row r="66" spans="2:10" x14ac:dyDescent="0.25">
      <c r="B66" t="e">
        <f>#REF!</f>
        <v>#REF!</v>
      </c>
      <c r="C66">
        <f>LoRa_TimerHandshaking!C66</f>
        <v>0</v>
      </c>
      <c r="D66" s="2">
        <f>LoRa_TimerHandshaking!D66</f>
        <v>0</v>
      </c>
      <c r="E66">
        <f>LoRa_TimerHandshaking!E66</f>
        <v>0</v>
      </c>
      <c r="F66">
        <f>LoRa_TimerHandshaking!F66</f>
        <v>0</v>
      </c>
      <c r="G66">
        <f>LoRa_TimerHandshaking!G66</f>
        <v>0</v>
      </c>
      <c r="H66">
        <f>LoRa_TimerHandshaking!H66</f>
        <v>0</v>
      </c>
      <c r="I66" s="2">
        <f>LoRa_TimerHandshaking!I66</f>
        <v>0</v>
      </c>
      <c r="J66">
        <f>LoRa_TimerHandshaking!J66</f>
        <v>0</v>
      </c>
    </row>
    <row r="67" spans="2:10" x14ac:dyDescent="0.25">
      <c r="B67" t="e">
        <f>#REF!</f>
        <v>#REF!</v>
      </c>
      <c r="C67">
        <f>LoRa_TimerHandshaking!C67</f>
        <v>0</v>
      </c>
      <c r="D67" s="2">
        <f>LoRa_TimerHandshaking!D67</f>
        <v>0</v>
      </c>
      <c r="E67">
        <f>LoRa_TimerHandshaking!E67</f>
        <v>0</v>
      </c>
      <c r="F67">
        <f>LoRa_TimerHandshaking!F67</f>
        <v>0</v>
      </c>
      <c r="G67">
        <f>LoRa_TimerHandshaking!G67</f>
        <v>0</v>
      </c>
      <c r="H67">
        <f>LoRa_TimerHandshaking!H67</f>
        <v>0</v>
      </c>
      <c r="I67" s="2">
        <f>LoRa_TimerHandshaking!I67</f>
        <v>0</v>
      </c>
      <c r="J67">
        <f>LoRa_TimerHandshaking!J67</f>
        <v>0</v>
      </c>
    </row>
    <row r="68" spans="2:10" x14ac:dyDescent="0.25">
      <c r="B68" t="e">
        <f>#REF!</f>
        <v>#REF!</v>
      </c>
      <c r="C68">
        <f>LoRa_TimerHandshaking!C68</f>
        <v>0</v>
      </c>
      <c r="D68" s="2">
        <f>LoRa_TimerHandshaking!D68</f>
        <v>0</v>
      </c>
      <c r="E68">
        <f>LoRa_TimerHandshaking!E68</f>
        <v>0</v>
      </c>
      <c r="F68">
        <f>LoRa_TimerHandshaking!F68</f>
        <v>0</v>
      </c>
      <c r="G68">
        <f>LoRa_TimerHandshaking!G68</f>
        <v>0</v>
      </c>
      <c r="H68">
        <f>LoRa_TimerHandshaking!H68</f>
        <v>0</v>
      </c>
      <c r="I68" s="2">
        <f>LoRa_TimerHandshaking!I68</f>
        <v>0</v>
      </c>
      <c r="J68">
        <f>LoRa_TimerHandshaking!J68</f>
        <v>0</v>
      </c>
    </row>
    <row r="69" spans="2:10" x14ac:dyDescent="0.25">
      <c r="B69" t="e">
        <f>#REF!</f>
        <v>#REF!</v>
      </c>
      <c r="C69">
        <f>LoRa_TimerHandshaking!C69</f>
        <v>0</v>
      </c>
      <c r="D69" s="2">
        <f>LoRa_TimerHandshaking!D69</f>
        <v>0</v>
      </c>
      <c r="E69">
        <f>LoRa_TimerHandshaking!E69</f>
        <v>0</v>
      </c>
      <c r="F69">
        <f>LoRa_TimerHandshaking!F69</f>
        <v>0</v>
      </c>
      <c r="G69" t="str">
        <f>LoRa_TimerHandshaking!G69</f>
        <v>ChannelParams_t</v>
      </c>
      <c r="H69" t="str">
        <f>LoRa_TimerHandshaking!H69</f>
        <v>Channels</v>
      </c>
      <c r="I69" s="2" t="str">
        <f>LoRa_TimerHandshaking!I69</f>
        <v>DefaultChannels868</v>
      </c>
      <c r="J69">
        <f>LoRa_TimerHandshaking!J69</f>
        <v>0</v>
      </c>
    </row>
    <row r="70" spans="2:10" x14ac:dyDescent="0.25">
      <c r="B70" t="e">
        <f>#REF!</f>
        <v>#REF!</v>
      </c>
      <c r="C70">
        <f>LoRa_TimerHandshaking!C70</f>
        <v>0</v>
      </c>
      <c r="D70" s="2">
        <f>LoRa_TimerHandshaking!D70</f>
        <v>0</v>
      </c>
      <c r="E70">
        <f>LoRa_TimerHandshaking!E70</f>
        <v>0</v>
      </c>
      <c r="F70">
        <f>LoRa_TimerHandshaking!F70</f>
        <v>0</v>
      </c>
      <c r="G70" t="str">
        <f>LoRa_TimerHandshaking!G70</f>
        <v>uint8_t</v>
      </c>
      <c r="H70" t="str">
        <f>LoRa_TimerHandshaking!H70</f>
        <v>maxPayloadSize[]</v>
      </c>
      <c r="I70" s="2" t="str">
        <f>LoRa_TimerHandshaking!I70</f>
        <v>MAX_EU_SINGLE_BAND_CHANNELS</v>
      </c>
      <c r="J70">
        <f>LoRa_TimerHandshaking!J70</f>
        <v>0</v>
      </c>
    </row>
    <row r="71" spans="2:10" x14ac:dyDescent="0.25">
      <c r="B71" t="e">
        <f>#REF!</f>
        <v>#REF!</v>
      </c>
      <c r="C71" t="e">
        <f>LoRa_TimerHandshaking!C71</f>
        <v>#REF!</v>
      </c>
      <c r="D71" s="2" t="e">
        <f>LoRa_TimerHandshaking!D71</f>
        <v>#REF!</v>
      </c>
      <c r="E71" t="e">
        <f>LoRa_TimerHandshaking!E71</f>
        <v>#REF!</v>
      </c>
      <c r="F71" t="e">
        <f>LoRa_TimerHandshaking!F71</f>
        <v>#REF!</v>
      </c>
      <c r="G71" t="e">
        <f>LoRa_TimerHandshaking!G71</f>
        <v>#REF!</v>
      </c>
      <c r="H71" t="e">
        <f>LoRa_TimerHandshaking!H71</f>
        <v>#REF!</v>
      </c>
      <c r="I71" s="2" t="e">
        <f>LoRa_TimerHandshaking!I71</f>
        <v>#REF!</v>
      </c>
      <c r="J71" t="e">
        <f>LoRa_TimerHandshaking!J71</f>
        <v>#REF!</v>
      </c>
    </row>
    <row r="72" spans="2:10" x14ac:dyDescent="0.25">
      <c r="B72" t="e">
        <f>#REF!</f>
        <v>#REF!</v>
      </c>
      <c r="C72" t="e">
        <f>LoRa_TimerHandshaking!C72</f>
        <v>#REF!</v>
      </c>
      <c r="D72" s="2" t="e">
        <f>LoRa_TimerHandshaking!D72</f>
        <v>#REF!</v>
      </c>
      <c r="E72" t="e">
        <f>LoRa_TimerHandshaking!E72</f>
        <v>#REF!</v>
      </c>
      <c r="F72" t="e">
        <f>LoRa_TimerHandshaking!F72</f>
        <v>#REF!</v>
      </c>
      <c r="G72" t="e">
        <f>LoRa_TimerHandshaking!G72</f>
        <v>#REF!</v>
      </c>
      <c r="H72" t="e">
        <f>LoRa_TimerHandshaking!H72</f>
        <v>#REF!</v>
      </c>
      <c r="I72" s="2" t="e">
        <f>LoRa_TimerHandshaking!I72</f>
        <v>#REF!</v>
      </c>
      <c r="J72" t="e">
        <f>LoRa_TimerHandshaking!J72</f>
        <v>#REF!</v>
      </c>
    </row>
    <row r="73" spans="2:10" x14ac:dyDescent="0.25">
      <c r="B73" t="e">
        <f>#REF!</f>
        <v>#REF!</v>
      </c>
      <c r="C73" t="e">
        <f>LoRa_TimerHandshaking!C73</f>
        <v>#REF!</v>
      </c>
      <c r="D73" s="2" t="e">
        <f>LoRa_TimerHandshaking!D73</f>
        <v>#REF!</v>
      </c>
      <c r="E73" t="e">
        <f>LoRa_TimerHandshaking!E73</f>
        <v>#REF!</v>
      </c>
      <c r="F73" t="e">
        <f>LoRa_TimerHandshaking!F73</f>
        <v>#REF!</v>
      </c>
      <c r="G73" t="e">
        <f>LoRa_TimerHandshaking!G73</f>
        <v>#REF!</v>
      </c>
      <c r="H73" t="e">
        <f>LoRa_TimerHandshaking!H73</f>
        <v>#REF!</v>
      </c>
      <c r="I73" s="2" t="e">
        <f>LoRa_TimerHandshaking!I73</f>
        <v>#REF!</v>
      </c>
      <c r="J73" t="e">
        <f>LoRa_TimerHandshaking!J73</f>
        <v>#REF!</v>
      </c>
    </row>
    <row r="74" spans="2:10" x14ac:dyDescent="0.25">
      <c r="B74" t="e">
        <f>#REF!</f>
        <v>#REF!</v>
      </c>
      <c r="C74" t="e">
        <f>LoRa_TimerHandshaking!C74</f>
        <v>#REF!</v>
      </c>
      <c r="D74" s="2" t="e">
        <f>LoRa_TimerHandshaking!D74</f>
        <v>#REF!</v>
      </c>
      <c r="E74" t="e">
        <f>LoRa_TimerHandshaking!E74</f>
        <v>#REF!</v>
      </c>
      <c r="F74" t="e">
        <f>LoRa_TimerHandshaking!F74</f>
        <v>#REF!</v>
      </c>
      <c r="G74" t="e">
        <f>LoRa_TimerHandshaking!G74</f>
        <v>#REF!</v>
      </c>
      <c r="H74" t="e">
        <f>LoRa_TimerHandshaking!H74</f>
        <v>#REF!</v>
      </c>
      <c r="I74" s="2" t="e">
        <f>LoRa_TimerHandshaking!I74</f>
        <v>#REF!</v>
      </c>
      <c r="J74" t="e">
        <f>LoRa_TimerHandshaking!J74</f>
        <v>#REF!</v>
      </c>
    </row>
    <row r="75" spans="2:10" x14ac:dyDescent="0.25">
      <c r="B75" t="e">
        <f>#REF!</f>
        <v>#REF!</v>
      </c>
      <c r="C75" t="e">
        <f>LoRa_TimerHandshaking!C75</f>
        <v>#REF!</v>
      </c>
      <c r="D75" s="2" t="e">
        <f>LoRa_TimerHandshaking!D75</f>
        <v>#REF!</v>
      </c>
      <c r="E75" t="e">
        <f>LoRa_TimerHandshaking!E75</f>
        <v>#REF!</v>
      </c>
      <c r="F75" t="e">
        <f>LoRa_TimerHandshaking!F75</f>
        <v>#REF!</v>
      </c>
      <c r="G75" t="e">
        <f>LoRa_TimerHandshaking!G75</f>
        <v>#REF!</v>
      </c>
      <c r="H75" t="e">
        <f>LoRa_TimerHandshaking!H75</f>
        <v>#REF!</v>
      </c>
      <c r="I75" s="2" t="e">
        <f>LoRa_TimerHandshaking!I75</f>
        <v>#REF!</v>
      </c>
      <c r="J75" t="e">
        <f>LoRa_TimerHandshaking!J75</f>
        <v>#REF!</v>
      </c>
    </row>
    <row r="76" spans="2:10" x14ac:dyDescent="0.25">
      <c r="B76" t="e">
        <f>#REF!</f>
        <v>#REF!</v>
      </c>
      <c r="C76" t="e">
        <f>LoRa_TimerHandshaking!C76</f>
        <v>#REF!</v>
      </c>
      <c r="D76" s="2" t="e">
        <f>LoRa_TimerHandshaking!D76</f>
        <v>#REF!</v>
      </c>
      <c r="E76" t="e">
        <f>LoRa_TimerHandshaking!E76</f>
        <v>#REF!</v>
      </c>
      <c r="F76" t="e">
        <f>LoRa_TimerHandshaking!F76</f>
        <v>#REF!</v>
      </c>
      <c r="G76" t="e">
        <f>LoRa_TimerHandshaking!G76</f>
        <v>#REF!</v>
      </c>
      <c r="H76" t="e">
        <f>LoRa_TimerHandshaking!H76</f>
        <v>#REF!</v>
      </c>
      <c r="I76" s="2" t="e">
        <f>LoRa_TimerHandshaking!I76</f>
        <v>#REF!</v>
      </c>
      <c r="J76" t="e">
        <f>LoRa_TimerHandshaking!J76</f>
        <v>#REF!</v>
      </c>
    </row>
    <row r="77" spans="2:10" x14ac:dyDescent="0.25">
      <c r="B77" t="e">
        <f>#REF!</f>
        <v>#REF!</v>
      </c>
      <c r="C77" t="e">
        <f>LoRa_TimerHandshaking!C77</f>
        <v>#REF!</v>
      </c>
      <c r="D77" s="2" t="e">
        <f>LoRa_TimerHandshaking!D77</f>
        <v>#REF!</v>
      </c>
      <c r="E77" t="e">
        <f>LoRa_TimerHandshaking!E77</f>
        <v>#REF!</v>
      </c>
      <c r="F77" t="e">
        <f>LoRa_TimerHandshaking!F77</f>
        <v>#REF!</v>
      </c>
      <c r="G77" t="e">
        <f>LoRa_TimerHandshaking!G77</f>
        <v>#REF!</v>
      </c>
      <c r="H77" t="e">
        <f>LoRa_TimerHandshaking!H77</f>
        <v>#REF!</v>
      </c>
      <c r="I77" s="2" t="e">
        <f>LoRa_TimerHandshaking!I77</f>
        <v>#REF!</v>
      </c>
      <c r="J77" t="e">
        <f>LoRa_TimerHandshaking!J77</f>
        <v>#REF!</v>
      </c>
    </row>
    <row r="78" spans="2:10" x14ac:dyDescent="0.25">
      <c r="B78" t="e">
        <f>#REF!</f>
        <v>#REF!</v>
      </c>
      <c r="C78" t="e">
        <f>#REF!</f>
        <v>#REF!</v>
      </c>
      <c r="D78" s="2" t="e">
        <f>#REF!</f>
        <v>#REF!</v>
      </c>
      <c r="E78" t="e">
        <f>#REF!</f>
        <v>#REF!</v>
      </c>
      <c r="F78" t="e">
        <f>#REF!</f>
        <v>#REF!</v>
      </c>
      <c r="G78" t="e">
        <f>#REF!</f>
        <v>#REF!</v>
      </c>
      <c r="H78" t="e">
        <f>#REF!</f>
        <v>#REF!</v>
      </c>
      <c r="I78" s="2" t="e">
        <f>#REF!</f>
        <v>#REF!</v>
      </c>
      <c r="J78" t="e">
        <f>#REF!</f>
        <v>#REF!</v>
      </c>
    </row>
  </sheetData>
  <hyperlinks>
    <hyperlink ref="B9" location="LoRa_TimerHandshaking!C1" display="LoRa_TimerHandshaking" xr:uid="{5A53D521-8616-4482-A869-37AFE4126DAD}"/>
  </hyperlink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31521-E8A8-4E11-8C69-3DA81310C770}">
  <sheetPr codeName="Arkusz9"/>
  <dimension ref="B1:J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6</v>
      </c>
      <c r="I1" s="2" t="s">
        <v>3</v>
      </c>
    </row>
    <row r="3" spans="2:10" x14ac:dyDescent="0.25">
      <c r="C3" t="str">
        <f>LoRa_TxDone!C3</f>
        <v>LoRa_transmitStatus</v>
      </c>
      <c r="D3" s="2" t="str">
        <f>I3</f>
        <v>LoRa_Handshaking_RX</v>
      </c>
      <c r="E3">
        <f>LoRa_TxDone!E3</f>
        <v>0</v>
      </c>
      <c r="F3">
        <f>LoRa_TxDone!F3</f>
        <v>0</v>
      </c>
      <c r="G3" t="str">
        <f>LoRa_TxDone!G3</f>
        <v>LoRaMacState_t</v>
      </c>
      <c r="H3" t="str">
        <f>LoRa_TxDone!H3</f>
        <v>LoRa_transmitStatus</v>
      </c>
      <c r="I3" s="2" t="str">
        <f>LoRa_TxDone!I3</f>
        <v>LoRa_Handshaking_RX</v>
      </c>
      <c r="J3">
        <f>LoRa_TxDone!J3</f>
        <v>0</v>
      </c>
    </row>
    <row r="4" spans="2:10" x14ac:dyDescent="0.25">
      <c r="C4" t="str">
        <f>LoRa_TxDone!C4</f>
        <v>LoRa_StatusDanych</v>
      </c>
      <c r="D4" s="2" t="str">
        <f>I4</f>
        <v>LoRa_transmiting</v>
      </c>
      <c r="E4">
        <f>LoRa_TxDone!E4</f>
        <v>0</v>
      </c>
      <c r="F4">
        <f>LoRa_TxDone!F4</f>
        <v>0</v>
      </c>
      <c r="G4" t="str">
        <f>LoRa_TxDone!G4</f>
        <v>LoRaStatus_t</v>
      </c>
      <c r="H4" t="str">
        <f>LoRa_TxDone!H4</f>
        <v>LoRa_StatusDanych</v>
      </c>
      <c r="I4" s="2" t="str">
        <f>LoRa_TxDone!I4</f>
        <v>LoRa_transmiting</v>
      </c>
      <c r="J4">
        <f>LoRa_TxDone!J4</f>
        <v>0</v>
      </c>
    </row>
    <row r="5" spans="2:10" x14ac:dyDescent="0.25">
      <c r="C5" t="str">
        <f>LoRa_TxDone!C5</f>
        <v>flags</v>
      </c>
      <c r="D5" s="2" t="str">
        <f>I47</f>
        <v>~RADIO_FLAG_RXDATA</v>
      </c>
      <c r="E5">
        <f>LoRa_TxDone!E5</f>
        <v>0</v>
      </c>
      <c r="F5">
        <f>LoRa_TxDone!F5</f>
        <v>0</v>
      </c>
      <c r="G5" t="str">
        <f>LoRa_TxDone!G5</f>
        <v>bool</v>
      </c>
      <c r="H5" t="str">
        <f>LoRa_TxDone!H5</f>
        <v>LoRa_initialised</v>
      </c>
      <c r="I5" s="2" t="str">
        <f>LoRa_TxDone!I5</f>
        <v>ENABLED</v>
      </c>
      <c r="J5">
        <f>LoRa_TxDone!J5</f>
        <v>0</v>
      </c>
    </row>
    <row r="6" spans="2:10" x14ac:dyDescent="0.25">
      <c r="C6">
        <f>LoRa_TxDone!C6</f>
        <v>0</v>
      </c>
      <c r="D6" s="2">
        <f>LoRa_TxDone!D6</f>
        <v>0</v>
      </c>
      <c r="E6">
        <f>LoRa_TxDone!E6</f>
        <v>0</v>
      </c>
      <c r="F6">
        <f>LoRa_TxDone!F6</f>
        <v>0</v>
      </c>
      <c r="G6" t="str">
        <f>LoRa_TxDone!G6</f>
        <v>FCnt_t</v>
      </c>
      <c r="H6" t="str">
        <f>LoRa_TxDone!H6</f>
        <v>LoRa_Counter</v>
      </c>
      <c r="I6" s="2" t="str">
        <f>LoRa_TxDone!I6</f>
        <v>++</v>
      </c>
      <c r="J6">
        <f>LoRa_TxDone!J6</f>
        <v>0</v>
      </c>
    </row>
    <row r="7" spans="2:10" x14ac:dyDescent="0.25">
      <c r="C7" s="16"/>
      <c r="D7" s="25"/>
      <c r="E7" s="17"/>
      <c r="F7" s="18"/>
      <c r="G7" t="str">
        <f>LoRa_TxDone!G7</f>
        <v>uint8_t</v>
      </c>
      <c r="H7" t="str">
        <f>LoRa_TxDone!H7</f>
        <v>LoRa_Addres</v>
      </c>
      <c r="I7" s="2" t="str">
        <f>LoRa_TxDone!I7</f>
        <v>LoRaDeviceAddress</v>
      </c>
      <c r="J7">
        <f>LoRa_TxDone!J7</f>
        <v>0</v>
      </c>
    </row>
    <row r="8" spans="2:10" x14ac:dyDescent="0.25">
      <c r="C8" s="19"/>
      <c r="D8" s="26"/>
      <c r="E8" s="20"/>
      <c r="F8" s="21"/>
      <c r="G8" t="str">
        <f>LoRa_TxDone!G8</f>
        <v>uint8_t</v>
      </c>
      <c r="H8" t="str">
        <f>LoRa_TxDone!H8</f>
        <v>LoRa_TimerHandshaking</v>
      </c>
      <c r="I8" s="40" t="s">
        <v>66</v>
      </c>
      <c r="J8" t="str">
        <f>LoRa_TxDone!J8</f>
        <v>LoRa_TimerHandshakingCallback</v>
      </c>
    </row>
    <row r="9" spans="2:10" x14ac:dyDescent="0.25">
      <c r="B9" s="3"/>
      <c r="C9" s="19"/>
      <c r="D9" s="26"/>
      <c r="E9" s="20"/>
      <c r="F9" s="21"/>
      <c r="G9" t="str">
        <f>LoRa_TxDone!G9</f>
        <v>uint8_t</v>
      </c>
      <c r="H9" t="str">
        <f>LoRa_TxDone!H9</f>
        <v>LoRa_TimerRetransmit</v>
      </c>
      <c r="I9" s="2" t="str">
        <f>LoRa_TxDone!I9</f>
        <v>0</v>
      </c>
      <c r="J9" t="str">
        <f>LoRa_TxDone!J9</f>
        <v>LoRa_TimerRetransmitCallback</v>
      </c>
    </row>
    <row r="10" spans="2:10" x14ac:dyDescent="0.25">
      <c r="C10" s="41" t="s">
        <v>19</v>
      </c>
      <c r="D10" s="37" t="s">
        <v>104</v>
      </c>
      <c r="E10" s="32" t="s">
        <v>105</v>
      </c>
      <c r="F10" s="51" t="s">
        <v>220</v>
      </c>
      <c r="G10" t="str">
        <f>LoRa_TxDone!G10</f>
        <v>uint8_t</v>
      </c>
      <c r="H10" t="str">
        <f>LoRa_TxDone!H10</f>
        <v>LoRa_TimerWaitAck</v>
      </c>
      <c r="I10" s="40" t="s">
        <v>66</v>
      </c>
      <c r="J10" t="str">
        <f>LoRa_TxDone!J10</f>
        <v>LoRa_TimerWaitAckCallback</v>
      </c>
    </row>
    <row r="11" spans="2:10" x14ac:dyDescent="0.25">
      <c r="C11" s="19"/>
      <c r="D11" s="26"/>
      <c r="E11" s="20"/>
      <c r="F11" s="21"/>
      <c r="G11" t="str">
        <f>LoRa_TxDone!G11</f>
        <v>uint8_t</v>
      </c>
      <c r="H11" t="str">
        <f>LoRa_TxDone!H11</f>
        <v>LoRa_HeaderBufor</v>
      </c>
      <c r="I11" s="2" t="str">
        <f>LoRa_TxDone!I11</f>
        <v>LoRa_Addres, nxt_channel</v>
      </c>
      <c r="J11">
        <f>LoRa_TxDone!J11</f>
        <v>0</v>
      </c>
    </row>
    <row r="12" spans="2:10" x14ac:dyDescent="0.25">
      <c r="C12" s="19"/>
      <c r="D12" s="26"/>
      <c r="E12" s="20"/>
      <c r="F12" s="21"/>
      <c r="G12" t="str">
        <f>LoRa_TxDone!G12</f>
        <v>uint8_t</v>
      </c>
      <c r="H12" t="str">
        <f>LoRa_TxDone!H12</f>
        <v>LoRa_HeaderLength</v>
      </c>
      <c r="I12" s="2" t="str">
        <f>LoRa_TxDone!I12</f>
        <v>bufferHeadIndex</v>
      </c>
      <c r="J12">
        <f>LoRa_TxDone!J12</f>
        <v>0</v>
      </c>
    </row>
    <row r="13" spans="2:10" x14ac:dyDescent="0.25">
      <c r="C13" s="19"/>
      <c r="D13" s="26"/>
      <c r="E13" s="20"/>
      <c r="F13" s="21"/>
      <c r="G13" t="str">
        <f>LoRa_TxDone!G13</f>
        <v>uint8_t</v>
      </c>
      <c r="H13" t="str">
        <f>LoRa_TxDone!H13</f>
        <v>LoRa_Bufor</v>
      </c>
      <c r="I13" s="2" t="str">
        <f>LoRa_TxDone!I13</f>
        <v>bufferIndex, nxt_channel, data, CRC</v>
      </c>
      <c r="J13">
        <f>LoRa_TxDone!J13</f>
        <v>0</v>
      </c>
    </row>
    <row r="14" spans="2:10" x14ac:dyDescent="0.25">
      <c r="C14" s="19"/>
      <c r="D14" s="26"/>
      <c r="E14" s="20"/>
      <c r="F14" s="21"/>
      <c r="G14" t="str">
        <f>LoRa_TxDone!G14</f>
        <v>uint8_t</v>
      </c>
      <c r="H14" t="str">
        <f>LoRa_TxDone!H14</f>
        <v>LoRa_BuforLength</v>
      </c>
      <c r="I14" s="2" t="str">
        <f>LoRa_TxDone!I14</f>
        <v>bufferIndex</v>
      </c>
      <c r="J14">
        <f>LoRa_TxDone!J14</f>
        <v>0</v>
      </c>
    </row>
    <row r="15" spans="2:10" x14ac:dyDescent="0.25">
      <c r="C15" s="19"/>
      <c r="D15" s="26"/>
      <c r="E15" s="20"/>
      <c r="F15" s="21"/>
      <c r="G15" t="str">
        <f>LoRa_TxDone!G15</f>
        <v>uint8_t</v>
      </c>
      <c r="H15" t="str">
        <f>LoRa_TxDone!H15</f>
        <v>LoRa_Command</v>
      </c>
      <c r="I15" s="2">
        <f>LoRa_TxDone!I15</f>
        <v>0</v>
      </c>
      <c r="J15">
        <f>LoRa_TxDone!J15</f>
        <v>0</v>
      </c>
    </row>
    <row r="16" spans="2:10" x14ac:dyDescent="0.25">
      <c r="C16" s="19"/>
      <c r="D16" s="26"/>
      <c r="E16" s="20"/>
      <c r="F16" s="21"/>
      <c r="G16" t="str">
        <f>LoRa_TxDone!G16</f>
        <v>uint8_t</v>
      </c>
      <c r="H16" t="str">
        <f>LoRa_TxDone!H16</f>
        <v>LoRa_maxChannels</v>
      </c>
      <c r="I16" s="2" t="str">
        <f>LoRa_TxDone!I16</f>
        <v>MAX_EU_SINGLE_BAND_CHANNELS</v>
      </c>
      <c r="J16">
        <f>LoRa_TxDone!J16</f>
        <v>0</v>
      </c>
    </row>
    <row r="17" spans="3:10" x14ac:dyDescent="0.25">
      <c r="C17" s="19"/>
      <c r="D17" s="26"/>
      <c r="E17" s="20"/>
      <c r="F17" s="21"/>
      <c r="G17" t="str">
        <f>LoRa_TxDone!G17</f>
        <v>uint8_t</v>
      </c>
      <c r="H17" t="str">
        <f>LoRa_TxDone!H17</f>
        <v>LoRa_lastUsedChannelIndex</v>
      </c>
      <c r="I17" s="2" t="str">
        <f>LoRa_TxDone!I17</f>
        <v>channelRx</v>
      </c>
      <c r="J17">
        <f>LoRa_TxDone!J17</f>
        <v>0</v>
      </c>
    </row>
    <row r="18" spans="3:10" x14ac:dyDescent="0.25">
      <c r="C18" s="19"/>
      <c r="D18" s="26"/>
      <c r="E18" s="20"/>
      <c r="F18" s="21"/>
      <c r="G18" t="str">
        <f>LoRa_TxDone!G18</f>
        <v>ReceiveWindowParameters_t</v>
      </c>
      <c r="H18" t="str">
        <f>LoRa_TxDone!H18</f>
        <v>LoRa_ch0_params.frequency</v>
      </c>
      <c r="I18" s="2" t="str">
        <f>LoRa_TxDone!I18</f>
        <v>LoRa_CH0_frequency</v>
      </c>
      <c r="J18">
        <f>LoRa_TxDone!J18</f>
        <v>0</v>
      </c>
    </row>
    <row r="19" spans="3:10" x14ac:dyDescent="0.25">
      <c r="C19" s="19"/>
      <c r="D19" s="26"/>
      <c r="E19" s="20"/>
      <c r="F19" s="21"/>
      <c r="G19">
        <f>LoRa_TxDone!G19</f>
        <v>0</v>
      </c>
      <c r="H19" t="str">
        <f>LoRa_TxDone!H19</f>
        <v>LoRa_ch0_params.datarate</v>
      </c>
      <c r="I19" s="2" t="str">
        <f>LoRa_TxDone!I19</f>
        <v>LoRa_CH0_datarate</v>
      </c>
      <c r="J19">
        <f>LoRa_TxDone!J19</f>
        <v>0</v>
      </c>
    </row>
    <row r="20" spans="3:10" x14ac:dyDescent="0.25">
      <c r="C20" s="19"/>
      <c r="D20" s="66" t="s">
        <v>156</v>
      </c>
      <c r="E20" s="67" t="s">
        <v>157</v>
      </c>
      <c r="F20" s="21"/>
      <c r="G20" t="str">
        <f>LoRa_TxDone!G20</f>
        <v>ReceiveWindowParameters_t</v>
      </c>
      <c r="H20" t="str">
        <f>LoRa_TxDone!H20</f>
        <v>LoRa_receiveChannelParameters.frequency</v>
      </c>
      <c r="I20" s="2" t="str">
        <f>LoRa_TxDone!I20</f>
        <v>LoRa_Channels[channelRxIndex].frequency</v>
      </c>
      <c r="J20">
        <f>LoRa_TxDone!J20</f>
        <v>0</v>
      </c>
    </row>
    <row r="21" spans="3:10" x14ac:dyDescent="0.25">
      <c r="C21" s="29" t="s">
        <v>213</v>
      </c>
      <c r="D21" s="26"/>
      <c r="E21" s="20"/>
      <c r="F21" s="21"/>
      <c r="G21">
        <f>LoRa_TxDone!G21</f>
        <v>0</v>
      </c>
      <c r="H21" t="str">
        <f>LoRa_TxDone!H21</f>
        <v>LoRa_receiveChannelParameters.dataRate</v>
      </c>
      <c r="I21" s="2" t="str">
        <f>LoRa_TxDone!I21</f>
        <v>LoRa_currentDataRate</v>
      </c>
      <c r="J21">
        <f>LoRa_TxDone!J21</f>
        <v>0</v>
      </c>
    </row>
    <row r="22" spans="3:10" x14ac:dyDescent="0.25">
      <c r="C22" s="29" t="s">
        <v>214</v>
      </c>
      <c r="D22" s="26"/>
      <c r="E22" s="20"/>
      <c r="F22" s="21"/>
      <c r="G22" t="str">
        <f>LoRa_TxDone!G22</f>
        <v>ReceiveWindowParameters_t</v>
      </c>
      <c r="H22" t="str">
        <f>LoRa_TxDone!H22</f>
        <v>LoRa_sendChannelParameters.frequency</v>
      </c>
      <c r="I22" s="2" t="str">
        <f>LoRa_TxDone!I22</f>
        <v>LoRa_Channels[channelRxIndex].frequency</v>
      </c>
      <c r="J22">
        <f>LoRa_TxDone!J22</f>
        <v>0</v>
      </c>
    </row>
    <row r="23" spans="3:10" x14ac:dyDescent="0.25">
      <c r="C23" s="29" t="s">
        <v>186</v>
      </c>
      <c r="D23" s="26"/>
      <c r="E23" s="20"/>
      <c r="F23" s="21"/>
      <c r="G23">
        <f>LoRa_TxDone!G23</f>
        <v>0</v>
      </c>
      <c r="H23" t="str">
        <f>LoRa_TxDone!H23</f>
        <v>LoRa_sendChannelParameters.dataRate</v>
      </c>
      <c r="I23" s="2" t="str">
        <f>LoRa_TxDone!I23</f>
        <v>LoRa_currentDataRate</v>
      </c>
      <c r="J23">
        <f>LoRa_TxDone!J23</f>
        <v>0</v>
      </c>
    </row>
    <row r="24" spans="3:10" x14ac:dyDescent="0.25">
      <c r="C24" s="22"/>
      <c r="D24" s="27"/>
      <c r="E24" s="23"/>
      <c r="F24" s="24"/>
      <c r="G24" t="str">
        <f>LoRa_TxDone!G24</f>
        <v>uint8_t</v>
      </c>
      <c r="H24" t="str">
        <f>LoRa_TxDone!H24</f>
        <v>LoRa_txPower</v>
      </c>
      <c r="I24" s="2">
        <f>LoRa_TxDone!I24</f>
        <v>1</v>
      </c>
      <c r="J24">
        <f>LoRa_TxDone!J24</f>
        <v>0</v>
      </c>
    </row>
    <row r="25" spans="3:10" x14ac:dyDescent="0.25">
      <c r="C25" t="str">
        <f>LoRa_TxDone!C25</f>
        <v>DATA</v>
      </c>
      <c r="D25" s="2" t="str">
        <f>LoRa_TxDone!D25</f>
        <v>LoRa_Addres, nxt_channel</v>
      </c>
      <c r="E25">
        <f>LoRa_TxDone!E25</f>
        <v>0</v>
      </c>
      <c r="F25">
        <f>LoRa_TxDone!F25</f>
        <v>0</v>
      </c>
      <c r="G25" t="str">
        <f>LoRa_TxDone!G25</f>
        <v>uint8_t</v>
      </c>
      <c r="H25" t="str">
        <f>LoRa_TxDone!H25</f>
        <v>LoRa_syncWord</v>
      </c>
      <c r="I25" s="2" t="str">
        <f>LoRa_TxDone!I25</f>
        <v>0x34</v>
      </c>
      <c r="J25">
        <f>LoRa_TxDone!J25</f>
        <v>0</v>
      </c>
    </row>
    <row r="26" spans="3:10" x14ac:dyDescent="0.25">
      <c r="C26" t="str">
        <f>LoRa_TxDone!C26</f>
        <v>mode</v>
      </c>
      <c r="D26" s="6" t="s">
        <v>124</v>
      </c>
      <c r="E26">
        <f>LoRa_TxDone!E26</f>
        <v>0</v>
      </c>
      <c r="F26">
        <f>LoRa_TxDone!F26</f>
        <v>0</v>
      </c>
      <c r="G26" t="str">
        <f>LoRa_TxDone!G26</f>
        <v>uint8_t</v>
      </c>
      <c r="H26" t="str">
        <f>LoRa_TxDone!H26</f>
        <v>LoRa_batteryLevel</v>
      </c>
      <c r="I26" s="2" t="str">
        <f>LoRa_TxDone!I26</f>
        <v>BATTERY_LEVEL_INVALID</v>
      </c>
      <c r="J26">
        <f>LoRa_TxDone!J26</f>
        <v>0</v>
      </c>
    </row>
    <row r="27" spans="3:10" x14ac:dyDescent="0.25">
      <c r="C27" t="str">
        <f>LoRa_TxDone!C27</f>
        <v>modulation</v>
      </c>
      <c r="D27" s="6" t="str">
        <f>I41</f>
        <v>modulation[LoRa_receiveChannelParameters.dataRate]</v>
      </c>
      <c r="E27">
        <f>LoRa_TxDone!E27</f>
        <v>0</v>
      </c>
      <c r="F27">
        <f>LoRa_TxDone!F27</f>
        <v>0</v>
      </c>
      <c r="G27" t="str">
        <f>LoRa_TxDone!G27</f>
        <v>IsmBand_t</v>
      </c>
      <c r="H27" t="str">
        <f>LoRa_TxDone!H27</f>
        <v>LoRa_ismBand</v>
      </c>
      <c r="I27" s="2" t="str">
        <f>LoRa_TxDone!I27</f>
        <v>ISM_EU868</v>
      </c>
      <c r="J27">
        <f>LoRa_TxDone!J27</f>
        <v>0</v>
      </c>
    </row>
    <row r="28" spans="3:10" x14ac:dyDescent="0.25">
      <c r="C28" t="str">
        <f>LoRa_TxDone!C28</f>
        <v>frequency</v>
      </c>
      <c r="D28" s="2" t="str">
        <f>LoRa_TxDone!D28</f>
        <v>LoRa_receiveChannelParameters.frequency</v>
      </c>
      <c r="E28">
        <f>LoRa_TxDone!E28</f>
        <v>0</v>
      </c>
      <c r="F28">
        <f>LoRa_TxDone!F28</f>
        <v>0</v>
      </c>
      <c r="G28" t="str">
        <f>LoRa_TxDone!G28</f>
        <v>uint8_t</v>
      </c>
      <c r="H28" t="str">
        <f>LoRa_TxDone!H28</f>
        <v>LoRa_currentDataRate</v>
      </c>
      <c r="I28" s="2" t="str">
        <f>LoRa_TxDone!I28</f>
        <v>DR0</v>
      </c>
      <c r="J28">
        <f>LoRa_TxDone!J28</f>
        <v>0</v>
      </c>
    </row>
    <row r="29" spans="3:10" x14ac:dyDescent="0.25">
      <c r="C29" t="str">
        <f>LoRa_TxDone!C29</f>
        <v>payload</v>
      </c>
      <c r="D29" s="2">
        <f>LoRa_TxDone!D29</f>
        <v>1</v>
      </c>
      <c r="E29">
        <f>LoRa_TxDone!E29</f>
        <v>0</v>
      </c>
      <c r="F29">
        <f>LoRa_TxDone!F29</f>
        <v>0</v>
      </c>
      <c r="G29" t="str">
        <f>LoRa_TxDone!G29</f>
        <v>uint8_t</v>
      </c>
      <c r="H29" t="str">
        <f>LoRa_TxDone!H29</f>
        <v>LoRa_minDataRate</v>
      </c>
      <c r="I29" s="2" t="str">
        <f>LoRa_TxDone!I29</f>
        <v>DR0</v>
      </c>
      <c r="J29">
        <f>LoRa_TxDone!J29</f>
        <v>0</v>
      </c>
    </row>
    <row r="30" spans="3:10" x14ac:dyDescent="0.25">
      <c r="C30" t="str">
        <f>LoRa_TxDone!C30</f>
        <v>power</v>
      </c>
      <c r="D30" s="2" t="str">
        <f>LoRa_TxDone!D30</f>
        <v>txPower868[LoRa_txPower]</v>
      </c>
      <c r="E30">
        <f>LoRa_TxDone!E30</f>
        <v>0</v>
      </c>
      <c r="F30">
        <f>LoRa_TxDone!F30</f>
        <v>0</v>
      </c>
      <c r="G30" t="str">
        <f>LoRa_TxDone!G30</f>
        <v>uint8_t</v>
      </c>
      <c r="H30" t="str">
        <f>LoRa_TxDone!H30</f>
        <v>LoRa_maxDataRate</v>
      </c>
      <c r="I30" s="2" t="str">
        <f>LoRa_TxDone!I30</f>
        <v>DR7</v>
      </c>
      <c r="J30">
        <f>LoRa_TxDone!J30</f>
        <v>0</v>
      </c>
    </row>
    <row r="31" spans="3:10" x14ac:dyDescent="0.25">
      <c r="C31" t="str">
        <f>LoRa_TxDone!C31</f>
        <v>SpreadingFactor</v>
      </c>
      <c r="D31" s="2" t="str">
        <f>LoRa_TxDone!D31</f>
        <v>spreadingFactor[LoRa_receiveChannelParameters.dataRate]</v>
      </c>
      <c r="E31">
        <f>LoRa_TxDone!E31</f>
        <v>0</v>
      </c>
      <c r="F31">
        <f>LoRa_TxDone!F31</f>
        <v>0</v>
      </c>
      <c r="G31" t="str">
        <f>LoRa_TxDone!G31</f>
        <v>uint8_t</v>
      </c>
      <c r="H31" t="str">
        <f>LoRa_TxDone!H31</f>
        <v>LoRa_nextUsedChannel</v>
      </c>
      <c r="I31" s="2">
        <f>LoRa_TxDone!I31</f>
        <v>0</v>
      </c>
      <c r="J31">
        <f>LoRa_TxDone!J31</f>
        <v>0</v>
      </c>
    </row>
    <row r="32" spans="3:10" x14ac:dyDescent="0.25">
      <c r="C32" t="str">
        <f>LoRa_TxDone!C32</f>
        <v>Bandwidth</v>
      </c>
      <c r="D32" s="2" t="str">
        <f>LoRa_TxDone!D32</f>
        <v>bandwidth[LoRa_receiveChannelParameters.dataRate]</v>
      </c>
      <c r="E32">
        <f>LoRa_TxDone!E32</f>
        <v>0</v>
      </c>
      <c r="F32">
        <f>LoRa_TxDone!F32</f>
        <v>0</v>
      </c>
      <c r="G32">
        <f>LoRa_TxDone!G32</f>
        <v>0</v>
      </c>
      <c r="H32">
        <f>LoRa_TxDone!H32</f>
        <v>0</v>
      </c>
      <c r="I32" s="2">
        <f>LoRa_TxDone!I32</f>
        <v>0</v>
      </c>
      <c r="J32">
        <f>LoRa_TxDone!J32</f>
        <v>0</v>
      </c>
    </row>
    <row r="33" spans="3:10" x14ac:dyDescent="0.25">
      <c r="C33" t="str">
        <f>LoRa_TxDone!C33</f>
        <v>SyncWord</v>
      </c>
      <c r="D33" s="2" t="str">
        <f>LoRa_TxDone!D33</f>
        <v>LoRa_syncWord</v>
      </c>
      <c r="E33">
        <f>LoRa_TxDone!E33</f>
        <v>0</v>
      </c>
      <c r="F33">
        <f>LoRa_TxDone!F33</f>
        <v>0</v>
      </c>
      <c r="G33">
        <f>LoRa_TxDone!G33</f>
        <v>0</v>
      </c>
      <c r="H33">
        <f>LoRa_TxDone!H33</f>
        <v>0</v>
      </c>
      <c r="I33" s="2">
        <f>LoRa_TxDone!I33</f>
        <v>0</v>
      </c>
      <c r="J33">
        <f>LoRa_TxDone!J33</f>
        <v>0</v>
      </c>
    </row>
    <row r="34" spans="3:10" x14ac:dyDescent="0.25">
      <c r="C34" t="str">
        <f>LoRa_TxDone!C34</f>
        <v>CRC</v>
      </c>
      <c r="D34" s="2" t="str">
        <f>LoRa_TxDone!D34</f>
        <v>DISABLED</v>
      </c>
      <c r="E34">
        <f>LoRa_TxDone!E34</f>
        <v>0</v>
      </c>
      <c r="F34">
        <f>LoRa_TxDone!F34</f>
        <v>0</v>
      </c>
      <c r="G34" t="str">
        <f>LoRa_TxDone!G34</f>
        <v>uint32_t</v>
      </c>
      <c r="H34" t="str">
        <f>LoRa_TxDone!H34</f>
        <v>frequency</v>
      </c>
      <c r="I34" s="2" t="str">
        <f>LoRa_TxDone!I34</f>
        <v>LoRa_receiveChannelParameters.frequency</v>
      </c>
      <c r="J34">
        <f>LoRa_TxDone!J34</f>
        <v>0</v>
      </c>
    </row>
    <row r="35" spans="3:10" x14ac:dyDescent="0.25">
      <c r="C35" t="str">
        <f>LoRa_TxDone!C35</f>
        <v>IQInverted</v>
      </c>
      <c r="D35" s="2" t="str">
        <f>LoRa_TxDone!D35</f>
        <v>ENABLED</v>
      </c>
      <c r="E35">
        <f>LoRa_TxDone!E35</f>
        <v>0</v>
      </c>
      <c r="F35">
        <f>LoRa_TxDone!F35</f>
        <v>0</v>
      </c>
      <c r="G35" t="str">
        <f>LoRa_TxDone!G35</f>
        <v>uint32_t</v>
      </c>
      <c r="H35" t="str">
        <f>LoRa_TxDone!H35</f>
        <v>frequencyDeviation</v>
      </c>
      <c r="I35" s="2">
        <f>LoRa_TxDone!I35</f>
        <v>25000</v>
      </c>
      <c r="J35">
        <f>LoRa_TxDone!J35</f>
        <v>0</v>
      </c>
    </row>
    <row r="36" spans="3:10" x14ac:dyDescent="0.25">
      <c r="C36" t="str">
        <f>LoRa_TxDone!C36</f>
        <v>HopPeriod</v>
      </c>
      <c r="D36" s="2" t="str">
        <f>LoRa_TxDone!D36</f>
        <v>DISABLED</v>
      </c>
      <c r="E36">
        <f>LoRa_TxDone!E36</f>
        <v>0</v>
      </c>
      <c r="F36">
        <f>LoRa_TxDone!F36</f>
        <v>0</v>
      </c>
      <c r="G36" t="str">
        <f>LoRa_TxDone!G36</f>
        <v>uint32_t</v>
      </c>
      <c r="H36" t="str">
        <f>LoRa_TxDone!H36</f>
        <v>bitRate</v>
      </c>
      <c r="I36" s="2">
        <f>LoRa_TxDone!I36</f>
        <v>50000</v>
      </c>
      <c r="J36">
        <f>LoRa_TxDone!J36</f>
        <v>0</v>
      </c>
    </row>
    <row r="37" spans="3:10" x14ac:dyDescent="0.25">
      <c r="C37" t="str">
        <f>LoRa_TxDone!C37</f>
        <v>errorCodingRate</v>
      </c>
      <c r="D37" s="2" t="str">
        <f>LoRa_TxDone!D37</f>
        <v>CR_4_5</v>
      </c>
      <c r="E37">
        <f>LoRa_TxDone!E37</f>
        <v>0</v>
      </c>
      <c r="F37">
        <f>LoRa_TxDone!F37</f>
        <v>0</v>
      </c>
      <c r="G37" t="str">
        <f>LoRa_TxDone!G37</f>
        <v>uint16_t</v>
      </c>
      <c r="H37" t="str">
        <f>LoRa_TxDone!H37</f>
        <v>preambleLen</v>
      </c>
      <c r="I37" s="2">
        <f>LoRa_TxDone!I37</f>
        <v>8</v>
      </c>
      <c r="J37">
        <f>LoRa_TxDone!J37</f>
        <v>0</v>
      </c>
    </row>
    <row r="38" spans="3:10" x14ac:dyDescent="0.25">
      <c r="C38" t="str">
        <f>LoRa_TxDone!C38</f>
        <v>implicitHeaderMode</v>
      </c>
      <c r="D38" s="2" t="str">
        <f>LoRa_TxDone!D38</f>
        <v>0</v>
      </c>
      <c r="E38">
        <f>LoRa_TxDone!E38</f>
        <v>0</v>
      </c>
      <c r="F38">
        <f>LoRa_TxDone!F38</f>
        <v>0</v>
      </c>
      <c r="G38" t="str">
        <f>LoRa_TxDone!G38</f>
        <v>uint8_t</v>
      </c>
      <c r="H38" t="str">
        <f>LoRa_TxDone!H38</f>
        <v>syncWordLoRa</v>
      </c>
      <c r="I38" s="2" t="str">
        <f>LoRa_TxDone!I38</f>
        <v>LoRa_syncWord</v>
      </c>
      <c r="J38">
        <f>LoRa_TxDone!J38</f>
        <v>0</v>
      </c>
    </row>
    <row r="39" spans="3:10" x14ac:dyDescent="0.25">
      <c r="C39" t="str">
        <f>LoRa_TxDone!C39</f>
        <v>preambleLen</v>
      </c>
      <c r="D39" s="2">
        <f>LoRa_TxDone!D39</f>
        <v>8</v>
      </c>
      <c r="E39">
        <f>LoRa_TxDone!E39</f>
        <v>0</v>
      </c>
      <c r="F39">
        <f>LoRa_TxDone!F39</f>
        <v>0</v>
      </c>
      <c r="G39" t="str">
        <f>LoRa_TxDone!G39</f>
        <v>uint8_t</v>
      </c>
      <c r="H39" t="str">
        <f>LoRa_TxDone!H39</f>
        <v>syncWord</v>
      </c>
      <c r="I39" s="2" t="str">
        <f>LoRa_TxDone!I39</f>
        <v>0xc1 0x94 0xc1</v>
      </c>
      <c r="J39">
        <f>LoRa_TxDone!J39</f>
        <v>0</v>
      </c>
    </row>
    <row r="40" spans="3:10" x14ac:dyDescent="0.25">
      <c r="C40" t="str">
        <f>LoRa_TxDone!C40</f>
        <v>symbolTimeout</v>
      </c>
      <c r="D40" s="2">
        <f>LoRa_TxDone!D40</f>
        <v>4</v>
      </c>
      <c r="E40">
        <f>LoRa_TxDone!E40</f>
        <v>0</v>
      </c>
      <c r="F40">
        <f>LoRa_TxDone!F40</f>
        <v>0</v>
      </c>
      <c r="G40" t="str">
        <f>LoRa_TxDone!G40</f>
        <v>uint8_t</v>
      </c>
      <c r="H40" t="str">
        <f>LoRa_TxDone!H40</f>
        <v>syncWordLen</v>
      </c>
      <c r="I40" s="2">
        <f>LoRa_TxDone!I40</f>
        <v>3</v>
      </c>
      <c r="J40">
        <f>LoRa_TxDone!J40</f>
        <v>0</v>
      </c>
    </row>
    <row r="41" spans="3:10" x14ac:dyDescent="0.25">
      <c r="C41" t="str">
        <f>LoRa_TxDone!C41</f>
        <v>FSKfreqDeviation</v>
      </c>
      <c r="D41" s="2">
        <f>LoRa_TxDone!D41</f>
        <v>25000</v>
      </c>
      <c r="E41">
        <f>LoRa_TxDone!E41</f>
        <v>0</v>
      </c>
      <c r="F41">
        <f>LoRa_TxDone!F41</f>
        <v>0</v>
      </c>
      <c r="G41" t="str">
        <f>LoRa_TxDone!G41</f>
        <v>RadioModulation_t</v>
      </c>
      <c r="H41" t="str">
        <f>LoRa_TxDone!H41</f>
        <v>modulation</v>
      </c>
      <c r="I41" s="2" t="str">
        <f>LoRa_TxDone!I41</f>
        <v>modulation[LoRa_receiveChannelParameters.dataRate]</v>
      </c>
      <c r="J41">
        <f>LoRa_TxDone!J41</f>
        <v>0</v>
      </c>
    </row>
    <row r="42" spans="3:10" x14ac:dyDescent="0.25">
      <c r="C42" t="str">
        <f>LoRa_TxDone!C42</f>
        <v>FSKBitRate</v>
      </c>
      <c r="D42" s="2">
        <f>LoRa_TxDone!D42</f>
        <v>50000</v>
      </c>
      <c r="E42">
        <f>LoRa_TxDone!E42</f>
        <v>0</v>
      </c>
      <c r="F42">
        <f>LoRa_TxDone!F42</f>
        <v>0</v>
      </c>
      <c r="G42" t="str">
        <f>LoRa_TxDone!G42</f>
        <v>RadioDataRate_t</v>
      </c>
      <c r="H42" t="str">
        <f>LoRa_TxDone!H42</f>
        <v>dataRate</v>
      </c>
      <c r="I42" s="2" t="str">
        <f>LoRa_TxDone!I42</f>
        <v>spreadingFactor[LoRa_receiveChannelParameters.dataRate]</v>
      </c>
      <c r="J42">
        <f>LoRa_TxDone!J42</f>
        <v>0</v>
      </c>
    </row>
    <row r="43" spans="3:10" x14ac:dyDescent="0.25">
      <c r="C43" t="str">
        <f>LoRa_TxDone!C43</f>
        <v>FSK_PREAMBLE</v>
      </c>
      <c r="D43" s="2">
        <f>LoRa_TxDone!D43</f>
        <v>8</v>
      </c>
      <c r="E43">
        <f>LoRa_TxDone!E43</f>
        <v>0</v>
      </c>
      <c r="F43">
        <f>LoRa_TxDone!F43</f>
        <v>0</v>
      </c>
      <c r="G43" t="str">
        <f>LoRa_TxDone!G43</f>
        <v>RadioLoRaBandWidth_t</v>
      </c>
      <c r="H43" t="str">
        <f>LoRa_TxDone!H43</f>
        <v>bandWidth</v>
      </c>
      <c r="I43" s="2" t="str">
        <f>LoRa_TxDone!I43</f>
        <v>bandwidth[LoRa_receiveChannelParameters.dataRate]</v>
      </c>
      <c r="J43">
        <f>LoRa_TxDone!J43</f>
        <v>0</v>
      </c>
    </row>
    <row r="44" spans="3:10" x14ac:dyDescent="0.25">
      <c r="C44" t="str">
        <f>LoRa_TxDone!C44</f>
        <v>fskDataShaping</v>
      </c>
      <c r="D44" s="2" t="str">
        <f>LoRa_TxDone!D44</f>
        <v>FSK_SHAPING_GAUSS_BT_0_5</v>
      </c>
      <c r="E44">
        <f>LoRa_TxDone!E44</f>
        <v>0</v>
      </c>
      <c r="F44">
        <f>LoRa_TxDone!F44</f>
        <v>0</v>
      </c>
      <c r="G44" t="str">
        <f>LoRa_TxDone!G44</f>
        <v>int8_t</v>
      </c>
      <c r="H44" t="str">
        <f>LoRa_TxDone!H44</f>
        <v>outputPower</v>
      </c>
      <c r="I44" s="2" t="str">
        <f>LoRa_TxDone!I44</f>
        <v>txPower868[LoRa_txPower]</v>
      </c>
      <c r="J44">
        <f>LoRa_TxDone!J44</f>
        <v>0</v>
      </c>
    </row>
    <row r="45" spans="3:10" x14ac:dyDescent="0.25">
      <c r="C45">
        <f>LoRa_TxDone!C45</f>
        <v>0</v>
      </c>
      <c r="D45" s="2">
        <f>LoRa_TxDone!D45</f>
        <v>0</v>
      </c>
      <c r="E45">
        <f>LoRa_TxDone!E45</f>
        <v>0</v>
      </c>
      <c r="F45">
        <f>LoRa_TxDone!F45</f>
        <v>0</v>
      </c>
      <c r="G45" t="str">
        <f>LoRa_TxDone!G45</f>
        <v>uint8_t</v>
      </c>
      <c r="H45" t="str">
        <f>LoRa_TxDone!H45</f>
        <v>crcOn</v>
      </c>
      <c r="I45" s="2" t="str">
        <f>LoRa_TxDone!I45</f>
        <v>DISABLED</v>
      </c>
      <c r="J45">
        <f>LoRa_TxDone!J45</f>
        <v>0</v>
      </c>
    </row>
    <row r="46" spans="3:10" x14ac:dyDescent="0.25">
      <c r="C46">
        <f>LoRa_TxDone!C46</f>
        <v>0</v>
      </c>
      <c r="D46" s="2">
        <f>LoRa_TxDone!D46</f>
        <v>0</v>
      </c>
      <c r="E46">
        <f>LoRa_TxDone!E46</f>
        <v>0</v>
      </c>
      <c r="F46">
        <f>LoRa_TxDone!F46</f>
        <v>0</v>
      </c>
      <c r="G46" t="str">
        <f>LoRa_TxDone!G46</f>
        <v>uint8_t</v>
      </c>
      <c r="H46" t="str">
        <f>LoRa_TxDone!H46</f>
        <v>paBoost</v>
      </c>
      <c r="I46" s="2" t="str">
        <f>LoRa_TxDone!I46</f>
        <v>0</v>
      </c>
      <c r="J46">
        <f>LoRa_TxDone!J46</f>
        <v>0</v>
      </c>
    </row>
    <row r="47" spans="3:10" x14ac:dyDescent="0.25">
      <c r="C47">
        <f>LoRa_TxDone!C47</f>
        <v>0</v>
      </c>
      <c r="D47" s="2">
        <f>LoRa_TxDone!D47</f>
        <v>0</v>
      </c>
      <c r="E47">
        <f>LoRa_TxDone!E47</f>
        <v>0</v>
      </c>
      <c r="F47">
        <f>LoRa_TxDone!F47</f>
        <v>0</v>
      </c>
      <c r="G47" t="str">
        <f>LoRa_TxDone!G47</f>
        <v>uint8_t</v>
      </c>
      <c r="H47" t="str">
        <f>LoRa_TxDone!H47</f>
        <v>flags</v>
      </c>
      <c r="I47" s="6" t="s">
        <v>219</v>
      </c>
      <c r="J47">
        <f>LoRa_TxDone!J47</f>
        <v>0</v>
      </c>
    </row>
    <row r="48" spans="3:10" x14ac:dyDescent="0.25">
      <c r="C48">
        <f>LoRa_TxDone!C48</f>
        <v>0</v>
      </c>
      <c r="D48" s="2">
        <f>LoRa_TxDone!D48</f>
        <v>0</v>
      </c>
      <c r="E48">
        <f>LoRa_TxDone!E48</f>
        <v>0</v>
      </c>
      <c r="F48">
        <f>LoRa_TxDone!F48</f>
        <v>0</v>
      </c>
      <c r="G48" t="str">
        <f>LoRa_TxDone!G48</f>
        <v>uint16_t</v>
      </c>
      <c r="H48" t="str">
        <f>LoRa_TxDone!H48</f>
        <v>frequencyHopPeriod</v>
      </c>
      <c r="I48" s="2" t="str">
        <f>LoRa_TxDone!I48</f>
        <v>DISABLED</v>
      </c>
      <c r="J48" t="str">
        <f>LoRa_TxDone!J48</f>
        <v>RADIO_FLAG_RECEIVING</v>
      </c>
    </row>
    <row r="49" spans="3:10" x14ac:dyDescent="0.25">
      <c r="C49">
        <f>LoRa_TxDone!C49</f>
        <v>0</v>
      </c>
      <c r="D49" s="2">
        <f>LoRa_TxDone!D49</f>
        <v>0</v>
      </c>
      <c r="E49">
        <f>LoRa_TxDone!E49</f>
        <v>0</v>
      </c>
      <c r="F49">
        <f>LoRa_TxDone!F49</f>
        <v>0</v>
      </c>
      <c r="G49" t="str">
        <f>LoRa_TxDone!G49</f>
        <v>uint8_t</v>
      </c>
      <c r="H49" t="str">
        <f>LoRa_TxDone!H49</f>
        <v>iqInverted</v>
      </c>
      <c r="I49" s="2" t="str">
        <f>LoRa_TxDone!I49</f>
        <v>ENABLED</v>
      </c>
      <c r="J49">
        <f>LoRa_TxDone!J49</f>
        <v>0</v>
      </c>
    </row>
    <row r="50" spans="3:10" x14ac:dyDescent="0.25">
      <c r="C50">
        <f>LoRa_TxDone!C50</f>
        <v>0</v>
      </c>
      <c r="D50" s="2">
        <f>LoRa_TxDone!D50</f>
        <v>0</v>
      </c>
      <c r="E50">
        <f>LoRa_TxDone!E50</f>
        <v>0</v>
      </c>
      <c r="F50">
        <f>LoRa_TxDone!F50</f>
        <v>0</v>
      </c>
      <c r="G50" t="str">
        <f>LoRa_TxDone!G50</f>
        <v>RadioErrorCodingRate_t</v>
      </c>
      <c r="H50" t="str">
        <f>LoRa_TxDone!H50</f>
        <v>errorCodingRate</v>
      </c>
      <c r="I50" s="2" t="str">
        <f>LoRa_TxDone!I50</f>
        <v>CR_4_5</v>
      </c>
      <c r="J50">
        <f>LoRa_TxDone!J50</f>
        <v>0</v>
      </c>
    </row>
    <row r="51" spans="3:10" x14ac:dyDescent="0.25">
      <c r="C51">
        <f>LoRa_TxDone!C51</f>
        <v>0</v>
      </c>
      <c r="D51" s="2">
        <f>LoRa_TxDone!D51</f>
        <v>0</v>
      </c>
      <c r="E51">
        <f>LoRa_TxDone!E51</f>
        <v>0</v>
      </c>
      <c r="F51">
        <f>LoRa_TxDone!F51</f>
        <v>0</v>
      </c>
      <c r="G51" t="str">
        <f>LoRa_TxDone!G51</f>
        <v>uint8_t</v>
      </c>
      <c r="H51" t="str">
        <f>LoRa_TxDone!H51</f>
        <v>implicitHeaderMode</v>
      </c>
      <c r="I51" s="2" t="str">
        <f>LoRa_TxDone!I51</f>
        <v>0</v>
      </c>
      <c r="J51">
        <f>LoRa_TxDone!J51</f>
        <v>0</v>
      </c>
    </row>
    <row r="52" spans="3:10" x14ac:dyDescent="0.25">
      <c r="C52">
        <f>LoRa_TxDone!C52</f>
        <v>0</v>
      </c>
      <c r="D52" s="2">
        <f>LoRa_TxDone!D52</f>
        <v>0</v>
      </c>
      <c r="E52">
        <f>LoRa_TxDone!E52</f>
        <v>0</v>
      </c>
      <c r="F52">
        <f>LoRa_TxDone!F52</f>
        <v>0</v>
      </c>
      <c r="G52">
        <f>LoRa_TxDone!G52</f>
        <v>0</v>
      </c>
      <c r="H52">
        <f>LoRa_TxDone!H52</f>
        <v>0</v>
      </c>
      <c r="I52" s="2">
        <f>LoRa_TxDone!I52</f>
        <v>0</v>
      </c>
      <c r="J52">
        <f>LoRa_TxDone!J52</f>
        <v>0</v>
      </c>
    </row>
    <row r="53" spans="3:10" x14ac:dyDescent="0.25">
      <c r="C53">
        <f>LoRa_TxDone!C53</f>
        <v>0</v>
      </c>
      <c r="D53" s="2">
        <f>LoRa_TxDone!D53</f>
        <v>0</v>
      </c>
      <c r="E53">
        <f>LoRa_TxDone!E53</f>
        <v>0</v>
      </c>
      <c r="F53">
        <f>LoRa_TxDone!F53</f>
        <v>0</v>
      </c>
      <c r="G53" t="str">
        <f>LoRa_TxDone!G53</f>
        <v>uint8_t</v>
      </c>
      <c r="H53" t="str">
        <f>LoRa_TxDone!H53</f>
        <v>dataBufferLen</v>
      </c>
      <c r="I53" s="6" t="s">
        <v>217</v>
      </c>
      <c r="J53">
        <f>LoRa_TxDone!J53</f>
        <v>0</v>
      </c>
    </row>
    <row r="54" spans="3:10" x14ac:dyDescent="0.25">
      <c r="C54">
        <f>LoRa_TxDone!C54</f>
        <v>0</v>
      </c>
      <c r="D54" s="2">
        <f>LoRa_TxDone!D54</f>
        <v>0</v>
      </c>
      <c r="E54">
        <f>LoRa_TxDone!E54</f>
        <v>0</v>
      </c>
      <c r="F54">
        <f>LoRa_TxDone!F54</f>
        <v>0</v>
      </c>
      <c r="G54" t="str">
        <f>LoRa_TxDone!G54</f>
        <v>uint8_t *</v>
      </c>
      <c r="H54" t="str">
        <f>LoRa_TxDone!H54</f>
        <v>dataBuffer</v>
      </c>
      <c r="I54" s="6" t="s">
        <v>218</v>
      </c>
      <c r="J54">
        <f>LoRa_TxDone!J54</f>
        <v>0</v>
      </c>
    </row>
    <row r="55" spans="3:10" x14ac:dyDescent="0.25">
      <c r="C55">
        <f>LoRa_TxDone!C55</f>
        <v>0</v>
      </c>
      <c r="D55" s="2">
        <f>LoRa_TxDone!D55</f>
        <v>0</v>
      </c>
      <c r="E55">
        <f>LoRa_TxDone!E55</f>
        <v>0</v>
      </c>
      <c r="F55">
        <f>LoRa_TxDone!F55</f>
        <v>0</v>
      </c>
      <c r="G55" t="str">
        <f>LoRa_TxDone!G55</f>
        <v>uint8_t</v>
      </c>
      <c r="H55" t="str">
        <f>LoRa_TxDone!H55</f>
        <v>timeOnAirTimerId</v>
      </c>
      <c r="I55" s="2" t="str">
        <f>LoRa_TxDone!I55</f>
        <v>TIME_ON_AIR_LOAD_VALUE</v>
      </c>
      <c r="J55">
        <f>LoRa_TxDone!J55</f>
        <v>0</v>
      </c>
    </row>
    <row r="56" spans="3:10" x14ac:dyDescent="0.25">
      <c r="C56">
        <f>LoRa_TxDone!C56</f>
        <v>0</v>
      </c>
      <c r="D56" s="2">
        <f>LoRa_TxDone!D56</f>
        <v>0</v>
      </c>
      <c r="E56">
        <f>LoRa_TxDone!E56</f>
        <v>0</v>
      </c>
      <c r="F56">
        <f>LoRa_TxDone!F56</f>
        <v>0</v>
      </c>
      <c r="G56" t="str">
        <f>LoRa_TxDone!G56</f>
        <v>uint8_t</v>
      </c>
      <c r="H56" t="str">
        <f>LoRa_TxDone!H56</f>
        <v>fskRxWindowTimerId</v>
      </c>
      <c r="I56" s="2" t="str">
        <f>LoRa_TxDone!I56</f>
        <v>0</v>
      </c>
      <c r="J56" t="str">
        <f>LoRa_TxDone!J56</f>
        <v>RADIO_RxFSKTimeout</v>
      </c>
    </row>
    <row r="57" spans="3:10" x14ac:dyDescent="0.25">
      <c r="C57">
        <f>LoRa_TxDone!C57</f>
        <v>0</v>
      </c>
      <c r="D57" s="2">
        <f>LoRa_TxDone!D57</f>
        <v>0</v>
      </c>
      <c r="E57">
        <f>LoRa_TxDone!E57</f>
        <v>0</v>
      </c>
      <c r="F57">
        <f>LoRa_TxDone!F57</f>
        <v>0</v>
      </c>
      <c r="G57" t="str">
        <f>LoRa_TxDone!G57</f>
        <v>uint8_t</v>
      </c>
      <c r="H57" t="str">
        <f>LoRa_TxDone!H57</f>
        <v>watchdogTimerId</v>
      </c>
      <c r="I57" s="8" t="s">
        <v>66</v>
      </c>
      <c r="J57" t="str">
        <f>LoRa_TxDone!J57</f>
        <v>RADIO_WatchdogTimeout</v>
      </c>
    </row>
    <row r="58" spans="3:10" x14ac:dyDescent="0.25">
      <c r="C58">
        <f>LoRa_TxDone!C58</f>
        <v>0</v>
      </c>
      <c r="D58" s="2">
        <f>LoRa_TxDone!D58</f>
        <v>0</v>
      </c>
      <c r="E58">
        <f>LoRa_TxDone!E58</f>
        <v>0</v>
      </c>
      <c r="F58">
        <f>LoRa_TxDone!F58</f>
        <v>0</v>
      </c>
      <c r="G58" t="str">
        <f>LoRa_TxDone!G58</f>
        <v>uint32_t</v>
      </c>
      <c r="H58" t="str">
        <f>LoRa_TxDone!H58</f>
        <v>watchdogTimerTimeout</v>
      </c>
      <c r="I58" s="2" t="str">
        <f>LoRa_TxDone!I58</f>
        <v>WATCHDOG_DEFAULT_TIME</v>
      </c>
      <c r="J58">
        <f>LoRa_TxDone!J58</f>
        <v>0</v>
      </c>
    </row>
    <row r="59" spans="3:10" x14ac:dyDescent="0.25">
      <c r="C59">
        <f>LoRa_TxDone!C59</f>
        <v>0</v>
      </c>
      <c r="D59" s="2">
        <f>LoRa_TxDone!D59</f>
        <v>0</v>
      </c>
      <c r="E59">
        <f>LoRa_TxDone!E59</f>
        <v>0</v>
      </c>
      <c r="F59">
        <f>LoRa_TxDone!F59</f>
        <v>0</v>
      </c>
      <c r="G59" t="str">
        <f>LoRa_TxDone!G59</f>
        <v>uint8_t</v>
      </c>
      <c r="H59" t="str">
        <f>LoRa_TxDone!H59</f>
        <v>initialized</v>
      </c>
      <c r="I59" s="2">
        <f>LoRa_TxDone!I59</f>
        <v>1</v>
      </c>
      <c r="J59">
        <f>LoRa_TxDone!J59</f>
        <v>0</v>
      </c>
    </row>
    <row r="60" spans="3:10" x14ac:dyDescent="0.25">
      <c r="C60">
        <f>LoRa_TxDone!C60</f>
        <v>0</v>
      </c>
      <c r="D60" s="2">
        <f>LoRa_TxDone!D60</f>
        <v>0</v>
      </c>
      <c r="E60">
        <f>LoRa_TxDone!E60</f>
        <v>0</v>
      </c>
      <c r="F60">
        <f>LoRa_TxDone!F60</f>
        <v>0</v>
      </c>
      <c r="G60" t="str">
        <f>LoRa_TxDone!G60</f>
        <v>uint32_t</v>
      </c>
      <c r="H60" t="str">
        <f>LoRa_TxDone!H60</f>
        <v>fhssNextFrequency</v>
      </c>
      <c r="I60" s="2" t="str">
        <f>LoRa_TxDone!I60</f>
        <v>NULL</v>
      </c>
      <c r="J60">
        <f>LoRa_TxDone!J60</f>
        <v>0</v>
      </c>
    </row>
    <row r="61" spans="3:10" x14ac:dyDescent="0.25">
      <c r="C61">
        <f>LoRa_TxDone!C61</f>
        <v>0</v>
      </c>
      <c r="D61" s="2">
        <f>LoRa_TxDone!D61</f>
        <v>0</v>
      </c>
      <c r="E61">
        <f>LoRa_TxDone!E61</f>
        <v>0</v>
      </c>
      <c r="F61">
        <f>LoRa_TxDone!F61</f>
        <v>0</v>
      </c>
      <c r="G61" t="str">
        <f>LoRa_TxDone!G61</f>
        <v>uint8_t</v>
      </c>
      <c r="H61" t="str">
        <f>LoRa_TxDone!H61</f>
        <v>regVersion</v>
      </c>
      <c r="I61" s="2" t="str">
        <f>LoRa_TxDone!I61</f>
        <v>REG_VERSION</v>
      </c>
      <c r="J61">
        <f>LoRa_TxDone!J61</f>
        <v>0</v>
      </c>
    </row>
    <row r="62" spans="3:10" x14ac:dyDescent="0.25">
      <c r="C62">
        <f>LoRa_TxDone!C62</f>
        <v>0</v>
      </c>
      <c r="D62" s="2">
        <f>LoRa_TxDone!D62</f>
        <v>0</v>
      </c>
      <c r="E62">
        <f>LoRa_TxDone!E62</f>
        <v>0</v>
      </c>
      <c r="F62">
        <f>LoRa_TxDone!F62</f>
        <v>0</v>
      </c>
      <c r="G62" t="str">
        <f>LoRa_TxDone!G62</f>
        <v>int8_t</v>
      </c>
      <c r="H62" t="str">
        <f>LoRa_TxDone!H62</f>
        <v>packetSNR</v>
      </c>
      <c r="I62" s="6" t="s">
        <v>191</v>
      </c>
      <c r="J62">
        <f>LoRa_TxDone!J62</f>
        <v>0</v>
      </c>
    </row>
    <row r="63" spans="3:10" x14ac:dyDescent="0.25">
      <c r="C63">
        <f>LoRa_TxDone!C63</f>
        <v>0</v>
      </c>
      <c r="D63" s="2">
        <f>LoRa_TxDone!D63</f>
        <v>0</v>
      </c>
      <c r="E63">
        <f>LoRa_TxDone!E63</f>
        <v>0</v>
      </c>
      <c r="F63">
        <f>LoRa_TxDone!F63</f>
        <v>0</v>
      </c>
      <c r="G63" t="str">
        <f>LoRa_TxDone!G63</f>
        <v>RadioFSKShaping_t</v>
      </c>
      <c r="H63" t="str">
        <f>LoRa_TxDone!H63</f>
        <v>fskDataShaping</v>
      </c>
      <c r="I63" s="2" t="str">
        <f>LoRa_TxDone!I63</f>
        <v>FSK_SHAPING_GAUSS_BT_0_5</v>
      </c>
      <c r="J63">
        <f>LoRa_TxDone!J63</f>
        <v>0</v>
      </c>
    </row>
    <row r="64" spans="3:10" x14ac:dyDescent="0.25">
      <c r="C64">
        <f>LoRa_TxDone!C64</f>
        <v>0</v>
      </c>
      <c r="D64" s="2">
        <f>LoRa_TxDone!D64</f>
        <v>0</v>
      </c>
      <c r="E64">
        <f>LoRa_TxDone!E64</f>
        <v>0</v>
      </c>
      <c r="F64">
        <f>LoRa_TxDone!F64</f>
        <v>0</v>
      </c>
      <c r="G64" t="str">
        <f>LoRa_TxDone!G64</f>
        <v>RadioFSKBandWidth_t</v>
      </c>
      <c r="H64" t="str">
        <f>LoRa_TxDone!H64</f>
        <v>rxBw</v>
      </c>
      <c r="I64" s="2" t="str">
        <f>LoRa_TxDone!I64</f>
        <v>FSKBW_50_0KHZ</v>
      </c>
      <c r="J64">
        <f>LoRa_TxDone!J64</f>
        <v>0</v>
      </c>
    </row>
    <row r="65" spans="3:10" x14ac:dyDescent="0.25">
      <c r="C65">
        <f>LoRa_TxDone!C65</f>
        <v>0</v>
      </c>
      <c r="D65" s="2">
        <f>LoRa_TxDone!D65</f>
        <v>0</v>
      </c>
      <c r="E65">
        <f>LoRa_TxDone!E65</f>
        <v>0</v>
      </c>
      <c r="F65">
        <f>LoRa_TxDone!F65</f>
        <v>0</v>
      </c>
      <c r="G65" t="str">
        <f>LoRa_TxDone!G65</f>
        <v>RadioFSKBandWidth_t</v>
      </c>
      <c r="H65" t="str">
        <f>LoRa_TxDone!H65</f>
        <v>afcBw</v>
      </c>
      <c r="I65" s="2" t="str">
        <f>LoRa_TxDone!I65</f>
        <v>FSKBW_83_3KHZ</v>
      </c>
      <c r="J65">
        <f>LoRa_TxDone!J65</f>
        <v>0</v>
      </c>
    </row>
    <row r="66" spans="3:10" x14ac:dyDescent="0.25">
      <c r="C66">
        <f>LoRa_TxDone!C66</f>
        <v>0</v>
      </c>
      <c r="D66" s="2">
        <f>LoRa_TxDone!D66</f>
        <v>0</v>
      </c>
      <c r="E66">
        <f>LoRa_TxDone!E66</f>
        <v>0</v>
      </c>
      <c r="F66">
        <f>LoRa_TxDone!F66</f>
        <v>0</v>
      </c>
      <c r="G66">
        <f>LoRa_TxDone!G66</f>
        <v>0</v>
      </c>
      <c r="H66">
        <f>LoRa_TxDone!H66</f>
        <v>0</v>
      </c>
      <c r="I66" s="2">
        <f>LoRa_TxDone!I66</f>
        <v>0</v>
      </c>
      <c r="J66">
        <f>LoRa_TxDone!J66</f>
        <v>0</v>
      </c>
    </row>
    <row r="67" spans="3:10" x14ac:dyDescent="0.25">
      <c r="C67">
        <f>LoRa_TxDone!C67</f>
        <v>0</v>
      </c>
      <c r="D67" s="2">
        <f>LoRa_TxDone!D67</f>
        <v>0</v>
      </c>
      <c r="E67">
        <f>LoRa_TxDone!E67</f>
        <v>0</v>
      </c>
      <c r="F67">
        <f>LoRa_TxDone!F67</f>
        <v>0</v>
      </c>
      <c r="G67">
        <f>LoRa_TxDone!G67</f>
        <v>0</v>
      </c>
      <c r="H67">
        <f>LoRa_TxDone!H67</f>
        <v>0</v>
      </c>
      <c r="I67" s="2">
        <f>LoRa_TxDone!I67</f>
        <v>0</v>
      </c>
      <c r="J67">
        <f>LoRa_TxDone!J67</f>
        <v>0</v>
      </c>
    </row>
    <row r="68" spans="3:10" x14ac:dyDescent="0.25">
      <c r="C68">
        <f>LoRa_TxDone!C68</f>
        <v>0</v>
      </c>
      <c r="D68" s="2">
        <f>LoRa_TxDone!D68</f>
        <v>0</v>
      </c>
      <c r="E68">
        <f>LoRa_TxDone!E68</f>
        <v>0</v>
      </c>
      <c r="F68">
        <f>LoRa_TxDone!F68</f>
        <v>0</v>
      </c>
      <c r="G68">
        <f>LoRa_TxDone!G68</f>
        <v>0</v>
      </c>
      <c r="H68">
        <f>LoRa_TxDone!H68</f>
        <v>0</v>
      </c>
      <c r="I68" s="2">
        <f>LoRa_TxDone!I68</f>
        <v>0</v>
      </c>
      <c r="J68">
        <f>LoRa_TxDone!J68</f>
        <v>0</v>
      </c>
    </row>
    <row r="69" spans="3:10" x14ac:dyDescent="0.25">
      <c r="C69">
        <f>LoRa_TxDone!C69</f>
        <v>0</v>
      </c>
      <c r="D69" s="2">
        <f>LoRa_TxDone!D69</f>
        <v>0</v>
      </c>
      <c r="E69">
        <f>LoRa_TxDone!E69</f>
        <v>0</v>
      </c>
      <c r="F69">
        <f>LoRa_TxDone!F69</f>
        <v>0</v>
      </c>
      <c r="G69" t="str">
        <f>LoRa_TxDone!G69</f>
        <v>ChannelParams_t</v>
      </c>
      <c r="H69" t="str">
        <f>LoRa_TxDone!H69</f>
        <v>Channels</v>
      </c>
      <c r="I69" s="2" t="str">
        <f>LoRa_TxDone!I69</f>
        <v>DefaultChannels868</v>
      </c>
      <c r="J69">
        <f>LoRa_TxDone!J69</f>
        <v>0</v>
      </c>
    </row>
    <row r="70" spans="3:10" x14ac:dyDescent="0.25">
      <c r="C70">
        <f>LoRa_TxDone!C70</f>
        <v>0</v>
      </c>
      <c r="D70" s="2">
        <f>LoRa_TxDone!D70</f>
        <v>0</v>
      </c>
      <c r="E70">
        <f>LoRa_TxDone!E70</f>
        <v>0</v>
      </c>
      <c r="F70">
        <f>LoRa_TxDone!F70</f>
        <v>0</v>
      </c>
      <c r="G70" t="str">
        <f>LoRa_TxDone!G70</f>
        <v>uint8_t</v>
      </c>
      <c r="H70" t="str">
        <f>LoRa_TxDone!H70</f>
        <v>maxPayloadSize[]</v>
      </c>
      <c r="I70" s="2" t="str">
        <f>LoRa_TxDone!I70</f>
        <v>MAX_EU_SINGLE_BAND_CHANNELS</v>
      </c>
      <c r="J70">
        <f>LoRa_TxDone!J70</f>
        <v>0</v>
      </c>
    </row>
    <row r="71" spans="3:10" x14ac:dyDescent="0.25">
      <c r="C71">
        <f>LoRa_TxDone!C71</f>
        <v>0</v>
      </c>
      <c r="D71" s="2">
        <f>LoRa_TxDone!D71</f>
        <v>0</v>
      </c>
      <c r="E71">
        <f>LoRa_TxDone!E71</f>
        <v>0</v>
      </c>
      <c r="F71">
        <f>LoRa_TxDone!F71</f>
        <v>0</v>
      </c>
      <c r="G71" t="str">
        <f>LoRa_TxDone!G71</f>
        <v>uint8_t</v>
      </c>
      <c r="H71" t="str">
        <f>LoRa_TxDone!H71</f>
        <v>modulation[]</v>
      </c>
      <c r="I71" s="2">
        <f>LoRa_TxDone!I71</f>
        <v>0</v>
      </c>
      <c r="J71">
        <f>LoRa_TxDone!J71</f>
        <v>0</v>
      </c>
    </row>
    <row r="72" spans="3:10" x14ac:dyDescent="0.25">
      <c r="C72">
        <f>LoRa_TxDone!C72</f>
        <v>0</v>
      </c>
      <c r="D72" s="2">
        <f>LoRa_TxDone!D72</f>
        <v>0</v>
      </c>
      <c r="E72">
        <f>LoRa_TxDone!E72</f>
        <v>0</v>
      </c>
      <c r="F72">
        <f>LoRa_TxDone!F72</f>
        <v>0</v>
      </c>
      <c r="G72" t="str">
        <f>LoRa_TxDone!G72</f>
        <v>uint8_t</v>
      </c>
      <c r="H72" t="str">
        <f>LoRa_TxDone!H72</f>
        <v>spreadingFactor[]</v>
      </c>
      <c r="I72" s="2">
        <f>LoRa_TxDone!I72</f>
        <v>0</v>
      </c>
      <c r="J72">
        <f>LoRa_TxDone!J72</f>
        <v>0</v>
      </c>
    </row>
    <row r="73" spans="3:10" x14ac:dyDescent="0.25">
      <c r="C73">
        <f>LoRa_TxDone!C73</f>
        <v>0</v>
      </c>
      <c r="D73" s="2">
        <f>LoRa_TxDone!D73</f>
        <v>0</v>
      </c>
      <c r="E73">
        <f>LoRa_TxDone!E73</f>
        <v>0</v>
      </c>
      <c r="F73">
        <f>LoRa_TxDone!F73</f>
        <v>0</v>
      </c>
      <c r="G73" t="str">
        <f>LoRa_TxDone!G73</f>
        <v>uint8_t</v>
      </c>
      <c r="H73" t="str">
        <f>LoRa_TxDone!H73</f>
        <v>bandwidth[]</v>
      </c>
      <c r="I73" s="2">
        <f>LoRa_TxDone!I73</f>
        <v>0</v>
      </c>
      <c r="J73">
        <f>LoRa_TxDone!J73</f>
        <v>0</v>
      </c>
    </row>
    <row r="74" spans="3:10" x14ac:dyDescent="0.25">
      <c r="C74">
        <f>LoRa_TxDone!C74</f>
        <v>0</v>
      </c>
      <c r="D74" s="2">
        <f>LoRa_TxDone!D74</f>
        <v>0</v>
      </c>
      <c r="E74">
        <f>LoRa_TxDone!E74</f>
        <v>0</v>
      </c>
      <c r="F74">
        <f>LoRa_TxDone!F74</f>
        <v>0</v>
      </c>
      <c r="G74" t="str">
        <f>LoRa_TxDone!G74</f>
        <v>uint8_t</v>
      </c>
      <c r="H74" t="str">
        <f>LoRa_TxDone!H74</f>
        <v>txPower868[]</v>
      </c>
      <c r="I74" s="2">
        <f>LoRa_TxDone!I74</f>
        <v>0</v>
      </c>
      <c r="J74">
        <f>LoRa_TxDone!J74</f>
        <v>0</v>
      </c>
    </row>
    <row r="75" spans="3:10" x14ac:dyDescent="0.25">
      <c r="C75">
        <f>LoRa_TxDone!C75</f>
        <v>0</v>
      </c>
      <c r="D75" s="2">
        <f>LoRa_TxDone!D75</f>
        <v>0</v>
      </c>
      <c r="E75">
        <f>LoRa_TxDone!E75</f>
        <v>0</v>
      </c>
      <c r="F75">
        <f>LoRa_TxDone!F75</f>
        <v>0</v>
      </c>
      <c r="G75" t="str">
        <f>LoRa_TxDone!G75</f>
        <v>uint8_t</v>
      </c>
      <c r="H75" t="str">
        <f>LoRa_TxDone!H75</f>
        <v>LoRa_radioBuffer[]</v>
      </c>
      <c r="I75" s="2" t="str">
        <f>LoRa_TxDone!I75</f>
        <v>MAXIMUM_BUFFER_LENGTH</v>
      </c>
      <c r="J75">
        <f>LoRa_TxDone!J75</f>
        <v>0</v>
      </c>
    </row>
    <row r="76" spans="3:10" x14ac:dyDescent="0.25">
      <c r="C76">
        <f>LoRa_TxDone!C76</f>
        <v>0</v>
      </c>
      <c r="D76" s="2">
        <f>LoRa_TxDone!D76</f>
        <v>0</v>
      </c>
      <c r="E76">
        <f>LoRa_TxDone!E76</f>
        <v>0</v>
      </c>
      <c r="F76">
        <f>LoRa_TxDone!F76</f>
        <v>0</v>
      </c>
      <c r="G76">
        <f>LoRa_TxDone!G76</f>
        <v>0</v>
      </c>
      <c r="H76">
        <f>LoRa_TxDone!H76</f>
        <v>0</v>
      </c>
      <c r="I76" s="2">
        <f>LoRa_TxDone!I76</f>
        <v>0</v>
      </c>
      <c r="J76">
        <f>LoRa_TxDone!J76</f>
        <v>0</v>
      </c>
    </row>
    <row r="77" spans="3:10" x14ac:dyDescent="0.25">
      <c r="C77">
        <f>LoRa_TxDone!C77</f>
        <v>0</v>
      </c>
      <c r="D77" s="2">
        <f>LoRa_TxDone!D77</f>
        <v>0</v>
      </c>
      <c r="E77">
        <f>LoRa_TxDone!E77</f>
        <v>0</v>
      </c>
      <c r="F77">
        <f>LoRa_TxDone!F77</f>
        <v>0</v>
      </c>
      <c r="G77">
        <f>LoRa_TxDone!G77</f>
        <v>0</v>
      </c>
      <c r="H77">
        <f>LoRa_TxDone!H77</f>
        <v>0</v>
      </c>
      <c r="I77" s="2">
        <f>LoRa_TxDone!I77</f>
        <v>0</v>
      </c>
      <c r="J77">
        <f>LoRa_TxDone!J77</f>
        <v>0</v>
      </c>
    </row>
    <row r="78" spans="3:10" x14ac:dyDescent="0.25"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3:10" x14ac:dyDescent="0.25">
      <c r="E79"/>
    </row>
  </sheetData>
  <hyperlinks>
    <hyperlink ref="D20" location="LoRa_RxDone_OK!C1" display="LoRa_RxDone_OK" xr:uid="{3F9C4FB4-B592-4233-8EE4-83B292D2F137}"/>
    <hyperlink ref="E20" location="LoRa_RxDone_Fail!C1" display="LoRa_RxDone_Fail" xr:uid="{0FA5944B-9AC2-49BA-937D-D48F20654D80}"/>
    <hyperlink ref="C21" location="LoRa_TimerHandshakingCallback!C1" display="LoRa_TimerHandshaking_timeout" xr:uid="{A86EB44A-4344-45FD-A78E-D9E41196AB12}"/>
    <hyperlink ref="C22" location="RADIO_WatchdogTimeout!C1" display="watchdogTimerId_timeout" xr:uid="{105626AB-BDF1-4822-A5D7-70FC1C72913C}"/>
    <hyperlink ref="C23" location="timeOnAirTimerId!C1" display="timeOnAirTimerId" xr:uid="{E4117843-4E1B-480E-8BAD-600300E10B2E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9" r:id="rId4" name="Button 3">
              <controlPr defaultSize="0" print="0" autoFill="0" autoPict="0" macro="[0]!Arkusz9.fill_in_RADIO_RxDone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Fill="0" autoPict="0" macro="[0]!RADIO_RxDone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D4F84-97D6-4E32-8597-4214AE57024E}">
  <sheetPr codeName="Arkusz10"/>
  <dimension ref="B1:J79"/>
  <sheetViews>
    <sheetView showZeros="0" workbookViewId="0">
      <selection activeCell="C20" sqref="C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156</v>
      </c>
      <c r="D1" s="2" t="s">
        <v>104</v>
      </c>
      <c r="E1" s="2" t="s">
        <v>105</v>
      </c>
      <c r="I1" s="2" t="s">
        <v>3</v>
      </c>
    </row>
    <row r="3" spans="2:10" x14ac:dyDescent="0.25">
      <c r="C3" t="str">
        <f>RADIO_RxDone!C3</f>
        <v>LoRa_transmitStatus</v>
      </c>
      <c r="D3" s="2" t="str">
        <f>I3</f>
        <v>LoRa_SendData_TX</v>
      </c>
      <c r="E3">
        <f>RADIO_RxDone!E3</f>
        <v>0</v>
      </c>
      <c r="F3">
        <f>RADIO_RxDone!F3</f>
        <v>0</v>
      </c>
      <c r="G3" t="str">
        <f>RADIO_RxDone!G3</f>
        <v>LoRaMacState_t</v>
      </c>
      <c r="H3" t="str">
        <f>RADIO_RxDone!H3</f>
        <v>LoRa_transmitStatus</v>
      </c>
      <c r="I3" s="6" t="s">
        <v>33</v>
      </c>
      <c r="J3">
        <f>RADIO_RxDone!J3</f>
        <v>0</v>
      </c>
    </row>
    <row r="4" spans="2:10" x14ac:dyDescent="0.25">
      <c r="C4" t="str">
        <f>RADIO_RxDone!C4</f>
        <v>LoRa_StatusDanych</v>
      </c>
      <c r="D4" s="2" t="str">
        <f>I4</f>
        <v>LoRa_transmiting</v>
      </c>
      <c r="E4">
        <f>RADIO_RxDone!E4</f>
        <v>0</v>
      </c>
      <c r="F4">
        <f>RADIO_RxDone!F4</f>
        <v>0</v>
      </c>
      <c r="G4" t="str">
        <f>RADIO_RxDone!G4</f>
        <v>LoRaStatus_t</v>
      </c>
      <c r="H4" t="str">
        <f>RADIO_RxDone!H4</f>
        <v>LoRa_StatusDanych</v>
      </c>
      <c r="I4" s="2" t="str">
        <f>RADIO_RxDone!I4</f>
        <v>LoRa_transmiting</v>
      </c>
      <c r="J4">
        <f>RADIO_RxDone!J4</f>
        <v>0</v>
      </c>
    </row>
    <row r="5" spans="2:10" x14ac:dyDescent="0.25">
      <c r="C5" t="str">
        <f>RADIO_RxDone!C5</f>
        <v>flags</v>
      </c>
      <c r="D5" s="2" t="str">
        <f>I47</f>
        <v>RADIO_FLAG_TRANSMITTING</v>
      </c>
      <c r="E5">
        <f>RADIO_RxDone!E5</f>
        <v>0</v>
      </c>
      <c r="F5">
        <f>RADIO_RxDone!F5</f>
        <v>0</v>
      </c>
      <c r="G5" t="str">
        <f>RADIO_RxDone!G5</f>
        <v>bool</v>
      </c>
      <c r="H5" t="str">
        <f>RADIO_RxDone!H5</f>
        <v>LoRa_initialised</v>
      </c>
      <c r="I5" s="2" t="str">
        <f>RADIO_RxDone!I5</f>
        <v>ENABLED</v>
      </c>
      <c r="J5">
        <f>RADIO_RxDone!J5</f>
        <v>0</v>
      </c>
    </row>
    <row r="6" spans="2:10" x14ac:dyDescent="0.25">
      <c r="C6">
        <f>RADIO_RxDone!C6</f>
        <v>0</v>
      </c>
      <c r="D6" s="2">
        <f>RADIO_RxDone!D6</f>
        <v>0</v>
      </c>
      <c r="E6">
        <f>RADIO_RxDone!E6</f>
        <v>0</v>
      </c>
      <c r="F6">
        <f>RADIO_RxDone!F6</f>
        <v>0</v>
      </c>
      <c r="G6" t="str">
        <f>RADIO_RxDone!G6</f>
        <v>FCnt_t</v>
      </c>
      <c r="H6" t="str">
        <f>RADIO_RxDone!H6</f>
        <v>LoRa_Counter</v>
      </c>
      <c r="I6" s="2" t="str">
        <f>RADIO_RxDone!I6</f>
        <v>++</v>
      </c>
      <c r="J6">
        <f>RADIO_RxDone!J6</f>
        <v>0</v>
      </c>
    </row>
    <row r="7" spans="2:10" x14ac:dyDescent="0.25">
      <c r="C7" s="16"/>
      <c r="D7" s="25"/>
      <c r="E7" s="17"/>
      <c r="F7" s="18"/>
      <c r="G7" t="str">
        <f>RADIO_RxDone!G7</f>
        <v>uint8_t</v>
      </c>
      <c r="H7" t="str">
        <f>RADIO_RxDone!H7</f>
        <v>LoRa_Addres</v>
      </c>
      <c r="I7" s="2" t="str">
        <f>RADIO_RxDone!I7</f>
        <v>LoRaDeviceAddress</v>
      </c>
      <c r="J7">
        <f>RADIO_RxDone!J7</f>
        <v>0</v>
      </c>
    </row>
    <row r="8" spans="2:10" x14ac:dyDescent="0.25">
      <c r="C8" s="19"/>
      <c r="D8" s="26"/>
      <c r="E8" s="20"/>
      <c r="F8" s="21"/>
      <c r="G8" t="str">
        <f>RADIO_RxDone!G8</f>
        <v>uint8_t</v>
      </c>
      <c r="H8" t="str">
        <f>RADIO_RxDone!H8</f>
        <v>LoRa_TimerHandshaking</v>
      </c>
      <c r="I8" s="2" t="str">
        <f>RADIO_RxDone!I8</f>
        <v>0</v>
      </c>
      <c r="J8" t="str">
        <f>RADIO_RxDone!J8</f>
        <v>LoRa_TimerHandshakingCallback</v>
      </c>
    </row>
    <row r="9" spans="2:10" x14ac:dyDescent="0.25">
      <c r="B9" s="3"/>
      <c r="C9" s="19"/>
      <c r="D9" s="36" t="s">
        <v>7</v>
      </c>
      <c r="E9" s="30" t="s">
        <v>8</v>
      </c>
      <c r="F9" s="31" t="s">
        <v>203</v>
      </c>
      <c r="G9" t="str">
        <f>RADIO_RxDone!G9</f>
        <v>uint8_t</v>
      </c>
      <c r="H9" t="str">
        <f>RADIO_RxDone!H9</f>
        <v>LoRa_TimerRetransmit</v>
      </c>
      <c r="I9" s="2" t="str">
        <f>RADIO_RxDone!I9</f>
        <v>0</v>
      </c>
      <c r="J9" t="str">
        <f>RADIO_RxDone!J9</f>
        <v>LoRa_TimerRetransmitCallback</v>
      </c>
    </row>
    <row r="10" spans="2:10" x14ac:dyDescent="0.25">
      <c r="C10" s="41" t="s">
        <v>209</v>
      </c>
      <c r="D10" s="37" t="s">
        <v>137</v>
      </c>
      <c r="E10" s="32" t="s">
        <v>136</v>
      </c>
      <c r="F10" s="51" t="s">
        <v>203</v>
      </c>
      <c r="G10" t="str">
        <f>RADIO_RxDone!G10</f>
        <v>uint8_t</v>
      </c>
      <c r="H10" t="str">
        <f>RADIO_RxDone!H10</f>
        <v>LoRa_TimerWaitAck</v>
      </c>
      <c r="I10" s="6" t="s">
        <v>107</v>
      </c>
      <c r="J10" t="str">
        <f>RADIO_RxDone!J10</f>
        <v>LoRa_TimerWaitAckCallback</v>
      </c>
    </row>
    <row r="11" spans="2:10" x14ac:dyDescent="0.25">
      <c r="C11" s="33" t="s">
        <v>194</v>
      </c>
      <c r="D11" s="38" t="s">
        <v>137</v>
      </c>
      <c r="E11" s="34" t="s">
        <v>136</v>
      </c>
      <c r="F11" s="50" t="s">
        <v>203</v>
      </c>
      <c r="G11" t="str">
        <f>RADIO_RxDone!G11</f>
        <v>uint8_t</v>
      </c>
      <c r="H11" t="str">
        <f>RADIO_RxDone!H11</f>
        <v>LoRa_HeaderBufor</v>
      </c>
      <c r="I11" s="2" t="str">
        <f>RADIO_RxDone!I11</f>
        <v>LoRa_Addres, nxt_channel</v>
      </c>
      <c r="J11">
        <f>RADIO_RxDone!J11</f>
        <v>0</v>
      </c>
    </row>
    <row r="12" spans="2:10" x14ac:dyDescent="0.25">
      <c r="C12" s="43" t="s">
        <v>0</v>
      </c>
      <c r="D12" s="44" t="s">
        <v>26</v>
      </c>
      <c r="E12" s="47" t="s">
        <v>27</v>
      </c>
      <c r="F12" s="49" t="s">
        <v>203</v>
      </c>
      <c r="G12" t="str">
        <f>RADIO_RxDone!G12</f>
        <v>uint8_t</v>
      </c>
      <c r="H12" t="str">
        <f>RADIO_RxDone!H12</f>
        <v>LoRa_HeaderLength</v>
      </c>
      <c r="I12" s="2" t="str">
        <f>RADIO_RxDone!I12</f>
        <v>bufferHeadIndex</v>
      </c>
      <c r="J12">
        <f>RADIO_RxDone!J12</f>
        <v>0</v>
      </c>
    </row>
    <row r="13" spans="2:10" x14ac:dyDescent="0.25">
      <c r="C13" s="52" t="s">
        <v>148</v>
      </c>
      <c r="D13" s="53">
        <v>4</v>
      </c>
      <c r="E13" s="20"/>
      <c r="F13" s="55" t="s">
        <v>203</v>
      </c>
      <c r="G13" t="str">
        <f>RADIO_RxDone!G13</f>
        <v>uint8_t</v>
      </c>
      <c r="H13" t="str">
        <f>RADIO_RxDone!H13</f>
        <v>LoRa_Bufor</v>
      </c>
      <c r="I13" s="2" t="str">
        <f>RADIO_RxDone!I13</f>
        <v>bufferIndex, nxt_channel, data, CRC</v>
      </c>
      <c r="J13">
        <f>RADIO_RxDone!J13</f>
        <v>0</v>
      </c>
    </row>
    <row r="14" spans="2:10" x14ac:dyDescent="0.25">
      <c r="C14" s="19"/>
      <c r="D14" s="26"/>
      <c r="E14" s="20"/>
      <c r="F14" s="21"/>
      <c r="G14" t="str">
        <f>RADIO_RxDone!G14</f>
        <v>uint8_t</v>
      </c>
      <c r="H14" t="str">
        <f>RADIO_RxDone!H14</f>
        <v>LoRa_BuforLength</v>
      </c>
      <c r="I14" s="2" t="str">
        <f>RADIO_RxDone!I14</f>
        <v>bufferIndex</v>
      </c>
      <c r="J14">
        <f>RADIO_RxDone!J14</f>
        <v>0</v>
      </c>
    </row>
    <row r="15" spans="2:10" x14ac:dyDescent="0.25">
      <c r="C15" s="19"/>
      <c r="D15" s="26"/>
      <c r="E15" s="20"/>
      <c r="F15" s="21"/>
      <c r="G15" t="str">
        <f>RADIO_RxDone!G15</f>
        <v>uint8_t</v>
      </c>
      <c r="H15" t="str">
        <f>RADIO_RxDone!H15</f>
        <v>LoRa_Command</v>
      </c>
      <c r="I15" s="6" t="s">
        <v>158</v>
      </c>
      <c r="J15">
        <f>RADIO_RxDone!J15</f>
        <v>0</v>
      </c>
    </row>
    <row r="16" spans="2:10" x14ac:dyDescent="0.25">
      <c r="C16" s="19"/>
      <c r="D16" s="26"/>
      <c r="E16" s="20"/>
      <c r="F16" s="21"/>
      <c r="G16" t="str">
        <f>RADIO_RxDone!G16</f>
        <v>uint8_t</v>
      </c>
      <c r="H16" t="str">
        <f>RADIO_RxDone!H16</f>
        <v>LoRa_maxChannels</v>
      </c>
      <c r="I16" s="2" t="str">
        <f>RADIO_RxDone!I16</f>
        <v>MAX_EU_SINGLE_BAND_CHANNELS</v>
      </c>
      <c r="J16">
        <f>RADIO_RxDone!J16</f>
        <v>0</v>
      </c>
    </row>
    <row r="17" spans="3:10" x14ac:dyDescent="0.25">
      <c r="C17" s="19"/>
      <c r="D17" s="26"/>
      <c r="E17" s="20"/>
      <c r="F17" s="21"/>
      <c r="G17" t="str">
        <f>RADIO_RxDone!G17</f>
        <v>uint8_t</v>
      </c>
      <c r="H17" t="str">
        <f>RADIO_RxDone!H17</f>
        <v>LoRa_lastUsedChannelIndex</v>
      </c>
      <c r="I17" s="2" t="str">
        <f>RADIO_RxDone!I17</f>
        <v>channelRx</v>
      </c>
      <c r="J17">
        <f>RADIO_RxDone!J17</f>
        <v>0</v>
      </c>
    </row>
    <row r="18" spans="3:10" x14ac:dyDescent="0.25">
      <c r="C18" s="19"/>
      <c r="D18" s="26"/>
      <c r="E18" s="20"/>
      <c r="F18" s="21"/>
      <c r="G18" t="str">
        <f>RADIO_RxDone!G18</f>
        <v>ReceiveWindowParameters_t</v>
      </c>
      <c r="H18" t="str">
        <f>RADIO_RxDone!H18</f>
        <v>LoRa_ch0_params.frequency</v>
      </c>
      <c r="I18" s="2" t="str">
        <f>RADIO_RxDone!I18</f>
        <v>LoRa_CH0_frequency</v>
      </c>
      <c r="J18">
        <f>RADIO_RxDone!J18</f>
        <v>0</v>
      </c>
    </row>
    <row r="19" spans="3:10" x14ac:dyDescent="0.25">
      <c r="C19" s="19"/>
      <c r="D19" s="26"/>
      <c r="E19" s="20"/>
      <c r="F19" s="21"/>
      <c r="G19">
        <f>RADIO_RxDone!G19</f>
        <v>0</v>
      </c>
      <c r="H19" t="str">
        <f>RADIO_RxDone!H19</f>
        <v>LoRa_ch0_params.datarate</v>
      </c>
      <c r="I19" s="2" t="str">
        <f>RADIO_RxDone!I19</f>
        <v>LoRa_CH0_datarate</v>
      </c>
      <c r="J19">
        <f>RADIO_RxDone!J19</f>
        <v>0</v>
      </c>
    </row>
    <row r="20" spans="3:10" x14ac:dyDescent="0.25">
      <c r="C20" s="29" t="s">
        <v>224</v>
      </c>
      <c r="D20" s="26"/>
      <c r="E20" s="20"/>
      <c r="F20" s="21"/>
      <c r="G20" t="str">
        <f>RADIO_RxDone!G20</f>
        <v>ReceiveWindowParameters_t</v>
      </c>
      <c r="H20" t="str">
        <f>RADIO_RxDone!H20</f>
        <v>LoRa_receiveChannelParameters.frequency</v>
      </c>
      <c r="I20" s="2" t="str">
        <f>RADIO_RxDone!I20</f>
        <v>LoRa_Channels[channelRxIndex].frequency</v>
      </c>
      <c r="J20">
        <f>RADIO_RxDone!J20</f>
        <v>0</v>
      </c>
    </row>
    <row r="21" spans="3:10" x14ac:dyDescent="0.25">
      <c r="C21" s="29" t="s">
        <v>225</v>
      </c>
      <c r="D21" s="26"/>
      <c r="E21" s="20"/>
      <c r="F21" s="21"/>
      <c r="G21">
        <f>RADIO_RxDone!G21</f>
        <v>0</v>
      </c>
      <c r="H21" t="str">
        <f>RADIO_RxDone!H21</f>
        <v>LoRa_receiveChannelParameters.dataRate</v>
      </c>
      <c r="I21" s="2" t="str">
        <f>RADIO_RxDone!I21</f>
        <v>LoRa_currentDataRate</v>
      </c>
      <c r="J21">
        <f>RADIO_RxDone!J21</f>
        <v>0</v>
      </c>
    </row>
    <row r="22" spans="3:10" x14ac:dyDescent="0.25">
      <c r="C22" s="29" t="s">
        <v>214</v>
      </c>
      <c r="D22" s="26"/>
      <c r="E22" s="20"/>
      <c r="F22" s="21"/>
      <c r="G22" t="str">
        <f>RADIO_RxDone!G22</f>
        <v>ReceiveWindowParameters_t</v>
      </c>
      <c r="H22" t="str">
        <f>RADIO_RxDone!H22</f>
        <v>LoRa_sendChannelParameters.frequency</v>
      </c>
      <c r="I22" s="2" t="str">
        <f>RADIO_RxDone!I22</f>
        <v>LoRa_Channels[channelRxIndex].frequency</v>
      </c>
      <c r="J22">
        <f>RADIO_RxDone!J22</f>
        <v>0</v>
      </c>
    </row>
    <row r="23" spans="3:10" x14ac:dyDescent="0.25">
      <c r="C23" s="29" t="s">
        <v>186</v>
      </c>
      <c r="D23" s="26"/>
      <c r="E23" s="20"/>
      <c r="F23" s="21"/>
      <c r="G23">
        <f>RADIO_RxDone!G23</f>
        <v>0</v>
      </c>
      <c r="H23" t="str">
        <f>RADIO_RxDone!H23</f>
        <v>LoRa_sendChannelParameters.dataRate</v>
      </c>
      <c r="I23" s="2" t="str">
        <f>RADIO_RxDone!I23</f>
        <v>LoRa_currentDataRate</v>
      </c>
      <c r="J23">
        <f>RADIO_RxDone!J23</f>
        <v>0</v>
      </c>
    </row>
    <row r="24" spans="3:10" x14ac:dyDescent="0.25">
      <c r="C24" s="22"/>
      <c r="D24" s="27"/>
      <c r="E24" s="23"/>
      <c r="F24" s="24"/>
      <c r="G24" t="str">
        <f>RADIO_RxDone!G24</f>
        <v>uint8_t</v>
      </c>
      <c r="H24" t="str">
        <f>RADIO_RxDone!H24</f>
        <v>LoRa_txPower</v>
      </c>
      <c r="I24" s="2">
        <f>RADIO_RxDone!I24</f>
        <v>1</v>
      </c>
      <c r="J24">
        <f>RADIO_RxDone!J24</f>
        <v>0</v>
      </c>
    </row>
    <row r="25" spans="3:10" x14ac:dyDescent="0.25">
      <c r="C25" t="str">
        <f>RADIO_RxDone!C25</f>
        <v>DATA</v>
      </c>
      <c r="D25" s="42" t="str">
        <f>I11</f>
        <v>LoRa_Addres, nxt_channel</v>
      </c>
      <c r="E25">
        <f>RADIO_RxDone!E25</f>
        <v>0</v>
      </c>
      <c r="F25">
        <f>RADIO_RxDone!F25</f>
        <v>0</v>
      </c>
      <c r="G25" t="str">
        <f>RADIO_RxDone!G25</f>
        <v>uint8_t</v>
      </c>
      <c r="H25" t="str">
        <f>RADIO_RxDone!H25</f>
        <v>LoRa_syncWord</v>
      </c>
      <c r="I25" s="2" t="str">
        <f>RADIO_RxDone!I25</f>
        <v>0x34</v>
      </c>
      <c r="J25">
        <f>RADIO_RxDone!J25</f>
        <v>0</v>
      </c>
    </row>
    <row r="26" spans="3:10" x14ac:dyDescent="0.25">
      <c r="C26" t="str">
        <f>RADIO_RxDone!C26</f>
        <v>mode</v>
      </c>
      <c r="D26" s="42" t="s">
        <v>149</v>
      </c>
      <c r="E26">
        <f>RADIO_RxDone!E26</f>
        <v>0</v>
      </c>
      <c r="F26">
        <f>RADIO_RxDone!F26</f>
        <v>0</v>
      </c>
      <c r="G26" t="str">
        <f>RADIO_RxDone!G26</f>
        <v>uint8_t</v>
      </c>
      <c r="H26" t="str">
        <f>RADIO_RxDone!H26</f>
        <v>LoRa_batteryLevel</v>
      </c>
      <c r="I26" s="2" t="str">
        <f>RADIO_RxDone!I26</f>
        <v>BATTERY_LEVEL_INVALID</v>
      </c>
      <c r="J26">
        <f>RADIO_RxDone!J26</f>
        <v>0</v>
      </c>
    </row>
    <row r="27" spans="3:10" x14ac:dyDescent="0.25">
      <c r="C27" t="str">
        <f>RADIO_RxDone!C27</f>
        <v>modulation</v>
      </c>
      <c r="D27" s="42" t="str">
        <f>I41</f>
        <v>modulation[LoRa_sendChannelParameters.dataRate]</v>
      </c>
      <c r="E27">
        <f>RADIO_RxDone!E27</f>
        <v>0</v>
      </c>
      <c r="F27">
        <f>RADIO_RxDone!F27</f>
        <v>0</v>
      </c>
      <c r="G27" t="str">
        <f>RADIO_RxDone!G27</f>
        <v>IsmBand_t</v>
      </c>
      <c r="H27" t="str">
        <f>RADIO_RxDone!H27</f>
        <v>LoRa_ismBand</v>
      </c>
      <c r="I27" s="2" t="str">
        <f>RADIO_RxDone!I27</f>
        <v>ISM_EU868</v>
      </c>
      <c r="J27">
        <f>RADIO_RxDone!J27</f>
        <v>0</v>
      </c>
    </row>
    <row r="28" spans="3:10" x14ac:dyDescent="0.25">
      <c r="C28" t="str">
        <f>RADIO_RxDone!C28</f>
        <v>frequency</v>
      </c>
      <c r="D28" s="56" t="str">
        <f>I34</f>
        <v>LoRa_sendChannelParameters.frequency</v>
      </c>
      <c r="E28">
        <f>RADIO_RxDone!E28</f>
        <v>0</v>
      </c>
      <c r="F28">
        <f>RADIO_RxDone!F28</f>
        <v>0</v>
      </c>
      <c r="G28" t="str">
        <f>RADIO_RxDone!G28</f>
        <v>uint8_t</v>
      </c>
      <c r="H28" t="str">
        <f>RADIO_RxDone!H28</f>
        <v>LoRa_currentDataRate</v>
      </c>
      <c r="I28" s="2" t="str">
        <f>RADIO_RxDone!I28</f>
        <v>DR0</v>
      </c>
      <c r="J28">
        <f>RADIO_RxDone!J28</f>
        <v>0</v>
      </c>
    </row>
    <row r="29" spans="3:10" x14ac:dyDescent="0.25">
      <c r="C29" t="str">
        <f>RADIO_RxDone!C29</f>
        <v>payload</v>
      </c>
      <c r="D29" s="42" t="str">
        <f>I12</f>
        <v>bufferHeadIndex</v>
      </c>
      <c r="E29">
        <f>RADIO_RxDone!E29</f>
        <v>0</v>
      </c>
      <c r="F29">
        <f>RADIO_RxDone!F29</f>
        <v>0</v>
      </c>
      <c r="G29" t="str">
        <f>RADIO_RxDone!G29</f>
        <v>uint8_t</v>
      </c>
      <c r="H29" t="str">
        <f>RADIO_RxDone!H29</f>
        <v>LoRa_minDataRate</v>
      </c>
      <c r="I29" s="2" t="str">
        <f>RADIO_RxDone!I29</f>
        <v>DR0</v>
      </c>
      <c r="J29">
        <f>RADIO_RxDone!J29</f>
        <v>0</v>
      </c>
    </row>
    <row r="30" spans="3:10" x14ac:dyDescent="0.25">
      <c r="C30" t="str">
        <f>RADIO_RxDone!C30</f>
        <v>power</v>
      </c>
      <c r="D30" s="56" t="str">
        <f>I44</f>
        <v>txPower868[LoRa_txPower]</v>
      </c>
      <c r="E30">
        <f>RADIO_RxDone!E30</f>
        <v>0</v>
      </c>
      <c r="F30">
        <f>RADIO_RxDone!F30</f>
        <v>0</v>
      </c>
      <c r="G30" t="str">
        <f>RADIO_RxDone!G30</f>
        <v>uint8_t</v>
      </c>
      <c r="H30" t="str">
        <f>RADIO_RxDone!H30</f>
        <v>LoRa_maxDataRate</v>
      </c>
      <c r="I30" s="2" t="str">
        <f>RADIO_RxDone!I30</f>
        <v>DR7</v>
      </c>
      <c r="J30">
        <f>RADIO_RxDone!J30</f>
        <v>0</v>
      </c>
    </row>
    <row r="31" spans="3:10" x14ac:dyDescent="0.25">
      <c r="C31" t="str">
        <f>RADIO_RxDone!C31</f>
        <v>SpreadingFactor</v>
      </c>
      <c r="D31" s="56" t="str">
        <f>I42</f>
        <v>spreadingFactor[LoRa_sendChannelParameters.dataRate]</v>
      </c>
      <c r="E31">
        <f>RADIO_RxDone!E31</f>
        <v>0</v>
      </c>
      <c r="F31">
        <f>RADIO_RxDone!F31</f>
        <v>0</v>
      </c>
      <c r="G31" t="str">
        <f>RADIO_RxDone!G31</f>
        <v>uint8_t</v>
      </c>
      <c r="H31" t="str">
        <f>RADIO_RxDone!H31</f>
        <v>LoRa_nextUsedChannel</v>
      </c>
      <c r="I31" s="2">
        <f>RADIO_RxDone!I31</f>
        <v>0</v>
      </c>
      <c r="J31">
        <f>RADIO_RxDone!J31</f>
        <v>0</v>
      </c>
    </row>
    <row r="32" spans="3:10" x14ac:dyDescent="0.25">
      <c r="C32" t="str">
        <f>RADIO_RxDone!C32</f>
        <v>Bandwidth</v>
      </c>
      <c r="D32" s="56" t="str">
        <f>I43</f>
        <v>bandwidth[LoRa_sendChannelParameters.dataRate]</v>
      </c>
      <c r="E32">
        <f>RADIO_RxDone!E32</f>
        <v>0</v>
      </c>
      <c r="F32">
        <f>RADIO_RxDone!F32</f>
        <v>0</v>
      </c>
      <c r="G32">
        <f>RADIO_RxDone!G32</f>
        <v>0</v>
      </c>
      <c r="H32">
        <f>RADIO_RxDone!H32</f>
        <v>0</v>
      </c>
      <c r="I32" s="2">
        <f>RADIO_RxDone!I32</f>
        <v>0</v>
      </c>
      <c r="J32">
        <f>RADIO_RxDone!J32</f>
        <v>0</v>
      </c>
    </row>
    <row r="33" spans="3:10" x14ac:dyDescent="0.25">
      <c r="C33" t="str">
        <f>RADIO_RxDone!C33</f>
        <v>SyncWord</v>
      </c>
      <c r="D33" s="56" t="str">
        <f>I38</f>
        <v>LoRa_syncWord</v>
      </c>
      <c r="E33">
        <f>RADIO_RxDone!E33</f>
        <v>0</v>
      </c>
      <c r="F33">
        <f>RADIO_RxDone!F33</f>
        <v>0</v>
      </c>
      <c r="G33">
        <f>RADIO_RxDone!G33</f>
        <v>0</v>
      </c>
      <c r="H33">
        <f>RADIO_RxDone!H33</f>
        <v>0</v>
      </c>
      <c r="I33" s="2">
        <f>RADIO_RxDone!I33</f>
        <v>0</v>
      </c>
      <c r="J33">
        <f>RADIO_RxDone!J33</f>
        <v>0</v>
      </c>
    </row>
    <row r="34" spans="3:10" x14ac:dyDescent="0.25">
      <c r="C34" t="str">
        <f>RADIO_RxDone!C34</f>
        <v>CRC</v>
      </c>
      <c r="D34" s="56" t="str">
        <f>I45</f>
        <v>ENABLED</v>
      </c>
      <c r="E34">
        <f>RADIO_RxDone!E34</f>
        <v>0</v>
      </c>
      <c r="F34">
        <f>RADIO_RxDone!F34</f>
        <v>0</v>
      </c>
      <c r="G34" t="str">
        <f>RADIO_RxDone!G34</f>
        <v>uint32_t</v>
      </c>
      <c r="H34" t="str">
        <f>RADIO_RxDone!H34</f>
        <v>frequency</v>
      </c>
      <c r="I34" s="46" t="s">
        <v>136</v>
      </c>
      <c r="J34">
        <f>RADIO_RxDone!J34</f>
        <v>0</v>
      </c>
    </row>
    <row r="35" spans="3:10" x14ac:dyDescent="0.25">
      <c r="C35" t="str">
        <f>RADIO_RxDone!C35</f>
        <v>IQInverted</v>
      </c>
      <c r="D35" s="56" t="str">
        <f>I49</f>
        <v>DISABLED</v>
      </c>
      <c r="E35">
        <f>RADIO_RxDone!E35</f>
        <v>0</v>
      </c>
      <c r="F35">
        <f>RADIO_RxDone!F35</f>
        <v>0</v>
      </c>
      <c r="G35" t="str">
        <f>RADIO_RxDone!G35</f>
        <v>uint32_t</v>
      </c>
      <c r="H35" t="str">
        <f>RADIO_RxDone!H35</f>
        <v>frequencyDeviation</v>
      </c>
      <c r="I35" s="2">
        <f>RADIO_RxDone!I35</f>
        <v>25000</v>
      </c>
      <c r="J35">
        <f>RADIO_RxDone!J35</f>
        <v>0</v>
      </c>
    </row>
    <row r="36" spans="3:10" x14ac:dyDescent="0.25">
      <c r="C36" t="str">
        <f>RADIO_RxDone!C36</f>
        <v>HopPeriod</v>
      </c>
      <c r="D36" s="56" t="str">
        <f>I48</f>
        <v>DISABLED</v>
      </c>
      <c r="E36">
        <f>RADIO_RxDone!E36</f>
        <v>0</v>
      </c>
      <c r="F36">
        <f>RADIO_RxDone!F36</f>
        <v>0</v>
      </c>
      <c r="G36" t="str">
        <f>RADIO_RxDone!G36</f>
        <v>uint32_t</v>
      </c>
      <c r="H36" t="str">
        <f>RADIO_RxDone!H36</f>
        <v>bitRate</v>
      </c>
      <c r="I36" s="2">
        <f>RADIO_RxDone!I36</f>
        <v>50000</v>
      </c>
      <c r="J36">
        <f>RADIO_RxDone!J36</f>
        <v>0</v>
      </c>
    </row>
    <row r="37" spans="3:10" x14ac:dyDescent="0.25">
      <c r="C37" t="str">
        <f>RADIO_RxDone!C37</f>
        <v>errorCodingRate</v>
      </c>
      <c r="D37" s="56" t="str">
        <f>I50</f>
        <v>CR_4_5</v>
      </c>
      <c r="E37">
        <f>RADIO_RxDone!E37</f>
        <v>0</v>
      </c>
      <c r="F37">
        <f>RADIO_RxDone!F37</f>
        <v>0</v>
      </c>
      <c r="G37" t="str">
        <f>RADIO_RxDone!G37</f>
        <v>uint16_t</v>
      </c>
      <c r="H37" t="str">
        <f>RADIO_RxDone!H37</f>
        <v>preambleLen</v>
      </c>
      <c r="I37" s="2">
        <f>RADIO_RxDone!I37</f>
        <v>8</v>
      </c>
      <c r="J37">
        <f>RADIO_RxDone!J37</f>
        <v>0</v>
      </c>
    </row>
    <row r="38" spans="3:10" x14ac:dyDescent="0.25">
      <c r="C38" t="str">
        <f>RADIO_RxDone!C38</f>
        <v>implicitHeaderMode</v>
      </c>
      <c r="D38" s="56" t="str">
        <f>I51</f>
        <v>0</v>
      </c>
      <c r="E38">
        <f>RADIO_RxDone!E38</f>
        <v>0</v>
      </c>
      <c r="F38">
        <f>RADIO_RxDone!F38</f>
        <v>0</v>
      </c>
      <c r="G38" t="str">
        <f>RADIO_RxDone!G38</f>
        <v>uint8_t</v>
      </c>
      <c r="H38" t="str">
        <f>RADIO_RxDone!H38</f>
        <v>syncWordLoRa</v>
      </c>
      <c r="I38" s="46" t="s">
        <v>69</v>
      </c>
      <c r="J38">
        <f>RADIO_RxDone!J38</f>
        <v>0</v>
      </c>
    </row>
    <row r="39" spans="3:10" x14ac:dyDescent="0.25">
      <c r="C39" t="str">
        <f>RADIO_RxDone!C39</f>
        <v>preambleLen</v>
      </c>
      <c r="D39" s="56">
        <f>I37</f>
        <v>8</v>
      </c>
      <c r="E39">
        <f>RADIO_RxDone!E39</f>
        <v>0</v>
      </c>
      <c r="F39">
        <f>RADIO_RxDone!F39</f>
        <v>0</v>
      </c>
      <c r="G39" t="str">
        <f>RADIO_RxDone!G39</f>
        <v>uint8_t</v>
      </c>
      <c r="H39" t="str">
        <f>RADIO_RxDone!H39</f>
        <v>syncWord</v>
      </c>
      <c r="I39" s="2" t="str">
        <f>RADIO_RxDone!I39</f>
        <v>0xc1 0x94 0xc1</v>
      </c>
      <c r="J39">
        <f>RADIO_RxDone!J39</f>
        <v>0</v>
      </c>
    </row>
    <row r="40" spans="3:10" x14ac:dyDescent="0.25">
      <c r="C40" t="str">
        <f>RADIO_RxDone!C40</f>
        <v>symbolTimeout</v>
      </c>
      <c r="D40" s="56">
        <v>4</v>
      </c>
      <c r="E40">
        <f>RADIO_RxDone!E40</f>
        <v>0</v>
      </c>
      <c r="F40">
        <f>RADIO_RxDone!F40</f>
        <v>0</v>
      </c>
      <c r="G40" t="str">
        <f>RADIO_RxDone!G40</f>
        <v>uint8_t</v>
      </c>
      <c r="H40" t="str">
        <f>RADIO_RxDone!H40</f>
        <v>syncWordLen</v>
      </c>
      <c r="I40" s="2">
        <f>RADIO_RxDone!I40</f>
        <v>3</v>
      </c>
      <c r="J40">
        <f>RADIO_RxDone!J40</f>
        <v>0</v>
      </c>
    </row>
    <row r="41" spans="3:10" x14ac:dyDescent="0.25">
      <c r="C41" t="str">
        <f>RADIO_RxDone!C41</f>
        <v>FSKfreqDeviation</v>
      </c>
      <c r="D41" s="56">
        <f>I35</f>
        <v>25000</v>
      </c>
      <c r="E41">
        <f>RADIO_RxDone!E41</f>
        <v>0</v>
      </c>
      <c r="F41">
        <f>RADIO_RxDone!F41</f>
        <v>0</v>
      </c>
      <c r="G41" t="str">
        <f>RADIO_RxDone!G41</f>
        <v>RadioModulation_t</v>
      </c>
      <c r="H41" t="str">
        <f>RADIO_RxDone!H41</f>
        <v>modulation</v>
      </c>
      <c r="I41" s="46" t="s">
        <v>221</v>
      </c>
      <c r="J41">
        <f>RADIO_RxDone!J41</f>
        <v>0</v>
      </c>
    </row>
    <row r="42" spans="3:10" x14ac:dyDescent="0.25">
      <c r="C42" t="str">
        <f>RADIO_RxDone!C42</f>
        <v>FSKBitRate</v>
      </c>
      <c r="D42" s="56">
        <f>I36</f>
        <v>50000</v>
      </c>
      <c r="E42">
        <f>RADIO_RxDone!E42</f>
        <v>0</v>
      </c>
      <c r="F42">
        <f>RADIO_RxDone!F42</f>
        <v>0</v>
      </c>
      <c r="G42" t="str">
        <f>RADIO_RxDone!G42</f>
        <v>RadioDataRate_t</v>
      </c>
      <c r="H42" t="str">
        <f>RADIO_RxDone!H42</f>
        <v>dataRate</v>
      </c>
      <c r="I42" s="46" t="s">
        <v>222</v>
      </c>
      <c r="J42">
        <f>RADIO_RxDone!J42</f>
        <v>0</v>
      </c>
    </row>
    <row r="43" spans="3:10" x14ac:dyDescent="0.25">
      <c r="C43" t="str">
        <f>RADIO_RxDone!C43</f>
        <v>FSK_PREAMBLE</v>
      </c>
      <c r="D43" s="56">
        <f>I37</f>
        <v>8</v>
      </c>
      <c r="E43">
        <f>RADIO_RxDone!E43</f>
        <v>0</v>
      </c>
      <c r="F43">
        <f>RADIO_RxDone!F43</f>
        <v>0</v>
      </c>
      <c r="G43" t="str">
        <f>RADIO_RxDone!G43</f>
        <v>RadioLoRaBandWidth_t</v>
      </c>
      <c r="H43" t="str">
        <f>RADIO_RxDone!H43</f>
        <v>bandWidth</v>
      </c>
      <c r="I43" s="46" t="s">
        <v>223</v>
      </c>
      <c r="J43">
        <f>RADIO_RxDone!J43</f>
        <v>0</v>
      </c>
    </row>
    <row r="44" spans="3:10" x14ac:dyDescent="0.25">
      <c r="C44" t="str">
        <f>RADIO_RxDone!C44</f>
        <v>fskDataShaping</v>
      </c>
      <c r="D44" s="56" t="str">
        <f>I63</f>
        <v>FSK_SHAPING_GAUSS_BT_0_5</v>
      </c>
      <c r="E44">
        <f>RADIO_RxDone!E44</f>
        <v>0</v>
      </c>
      <c r="F44">
        <f>RADIO_RxDone!F44</f>
        <v>0</v>
      </c>
      <c r="G44" t="str">
        <f>RADIO_RxDone!G44</f>
        <v>int8_t</v>
      </c>
      <c r="H44" t="str">
        <f>RADIO_RxDone!H44</f>
        <v>outputPower</v>
      </c>
      <c r="I44" s="39" t="s">
        <v>97</v>
      </c>
      <c r="J44">
        <f>RADIO_RxDone!J44</f>
        <v>0</v>
      </c>
    </row>
    <row r="45" spans="3:10" x14ac:dyDescent="0.25">
      <c r="C45">
        <f>RADIO_RxDone!C45</f>
        <v>0</v>
      </c>
      <c r="D45" s="2">
        <f>RADIO_RxDone!D45</f>
        <v>0</v>
      </c>
      <c r="E45">
        <f>RADIO_RxDone!E45</f>
        <v>0</v>
      </c>
      <c r="F45">
        <f>RADIO_RxDone!F45</f>
        <v>0</v>
      </c>
      <c r="G45" t="str">
        <f>RADIO_RxDone!G45</f>
        <v>uint8_t</v>
      </c>
      <c r="H45" t="str">
        <f>RADIO_RxDone!H45</f>
        <v>crcOn</v>
      </c>
      <c r="I45" s="39" t="s">
        <v>39</v>
      </c>
      <c r="J45">
        <f>RADIO_RxDone!J45</f>
        <v>0</v>
      </c>
    </row>
    <row r="46" spans="3:10" x14ac:dyDescent="0.25">
      <c r="C46">
        <f>RADIO_RxDone!C46</f>
        <v>0</v>
      </c>
      <c r="D46" s="2">
        <f>RADIO_RxDone!D46</f>
        <v>0</v>
      </c>
      <c r="E46">
        <f>RADIO_RxDone!E46</f>
        <v>0</v>
      </c>
      <c r="F46">
        <f>RADIO_RxDone!F46</f>
        <v>0</v>
      </c>
      <c r="G46" t="str">
        <f>RADIO_RxDone!G46</f>
        <v>uint8_t</v>
      </c>
      <c r="H46" t="str">
        <f>RADIO_RxDone!H46</f>
        <v>paBoost</v>
      </c>
      <c r="I46" s="2" t="str">
        <f>RADIO_RxDone!I46</f>
        <v>0</v>
      </c>
      <c r="J46">
        <f>RADIO_RxDone!J46</f>
        <v>0</v>
      </c>
    </row>
    <row r="47" spans="3:10" x14ac:dyDescent="0.25">
      <c r="C47">
        <f>RADIO_RxDone!C47</f>
        <v>0</v>
      </c>
      <c r="D47" s="2">
        <f>RADIO_RxDone!D47</f>
        <v>0</v>
      </c>
      <c r="E47">
        <f>RADIO_RxDone!E47</f>
        <v>0</v>
      </c>
      <c r="F47">
        <f>RADIO_RxDone!F47</f>
        <v>0</v>
      </c>
      <c r="G47" t="str">
        <f>RADIO_RxDone!G47</f>
        <v>uint8_t</v>
      </c>
      <c r="H47" t="str">
        <f>RADIO_RxDone!H47</f>
        <v>flags</v>
      </c>
      <c r="I47" s="42" t="s">
        <v>152</v>
      </c>
      <c r="J47">
        <f>RADIO_RxDone!J47</f>
        <v>0</v>
      </c>
    </row>
    <row r="48" spans="3:10" x14ac:dyDescent="0.25">
      <c r="C48">
        <f>RADIO_RxDone!C48</f>
        <v>0</v>
      </c>
      <c r="D48" s="2">
        <f>RADIO_RxDone!D48</f>
        <v>0</v>
      </c>
      <c r="E48">
        <f>RADIO_RxDone!E48</f>
        <v>0</v>
      </c>
      <c r="F48">
        <f>RADIO_RxDone!F48</f>
        <v>0</v>
      </c>
      <c r="G48" t="str">
        <f>RADIO_RxDone!G48</f>
        <v>uint16_t</v>
      </c>
      <c r="H48" t="str">
        <f>RADIO_RxDone!H48</f>
        <v>frequencyHopPeriod</v>
      </c>
      <c r="I48" s="46" t="s">
        <v>93</v>
      </c>
      <c r="J48" t="str">
        <f>RADIO_RxDone!J48</f>
        <v>RADIO_FLAG_RECEIVING</v>
      </c>
    </row>
    <row r="49" spans="3:10" x14ac:dyDescent="0.25">
      <c r="C49">
        <f>RADIO_RxDone!C49</f>
        <v>0</v>
      </c>
      <c r="D49" s="2">
        <f>RADIO_RxDone!D49</f>
        <v>0</v>
      </c>
      <c r="E49">
        <f>RADIO_RxDone!E49</f>
        <v>0</v>
      </c>
      <c r="F49">
        <f>RADIO_RxDone!F49</f>
        <v>0</v>
      </c>
      <c r="G49" t="str">
        <f>RADIO_RxDone!G49</f>
        <v>uint8_t</v>
      </c>
      <c r="H49" t="str">
        <f>RADIO_RxDone!H49</f>
        <v>iqInverted</v>
      </c>
      <c r="I49" s="39" t="s">
        <v>93</v>
      </c>
      <c r="J49">
        <f>RADIO_RxDone!J49</f>
        <v>0</v>
      </c>
    </row>
    <row r="50" spans="3:10" x14ac:dyDescent="0.25">
      <c r="C50">
        <f>RADIO_RxDone!C50</f>
        <v>0</v>
      </c>
      <c r="D50" s="2">
        <f>RADIO_RxDone!D50</f>
        <v>0</v>
      </c>
      <c r="E50">
        <f>RADIO_RxDone!E50</f>
        <v>0</v>
      </c>
      <c r="F50">
        <f>RADIO_RxDone!F50</f>
        <v>0</v>
      </c>
      <c r="G50" t="str">
        <f>RADIO_RxDone!G50</f>
        <v>RadioErrorCodingRate_t</v>
      </c>
      <c r="H50" t="str">
        <f>RADIO_RxDone!H50</f>
        <v>errorCodingRate</v>
      </c>
      <c r="I50" s="2" t="str">
        <f>RADIO_RxDone!I50</f>
        <v>CR_4_5</v>
      </c>
      <c r="J50">
        <f>RADIO_RxDone!J50</f>
        <v>0</v>
      </c>
    </row>
    <row r="51" spans="3:10" x14ac:dyDescent="0.25">
      <c r="C51">
        <f>RADIO_RxDone!C51</f>
        <v>0</v>
      </c>
      <c r="D51" s="2">
        <f>RADIO_RxDone!D51</f>
        <v>0</v>
      </c>
      <c r="E51">
        <f>RADIO_RxDone!E51</f>
        <v>0</v>
      </c>
      <c r="F51">
        <f>RADIO_RxDone!F51</f>
        <v>0</v>
      </c>
      <c r="G51" t="str">
        <f>RADIO_RxDone!G51</f>
        <v>uint8_t</v>
      </c>
      <c r="H51" t="str">
        <f>RADIO_RxDone!H51</f>
        <v>implicitHeaderMode</v>
      </c>
      <c r="I51" s="2" t="str">
        <f>RADIO_RxDone!I51</f>
        <v>0</v>
      </c>
      <c r="J51">
        <f>RADIO_RxDone!J51</f>
        <v>0</v>
      </c>
    </row>
    <row r="52" spans="3:10" x14ac:dyDescent="0.25">
      <c r="C52">
        <f>RADIO_RxDone!C52</f>
        <v>0</v>
      </c>
      <c r="D52" s="2">
        <f>RADIO_RxDone!D52</f>
        <v>0</v>
      </c>
      <c r="E52">
        <f>RADIO_RxDone!E52</f>
        <v>0</v>
      </c>
      <c r="F52">
        <f>RADIO_RxDone!F52</f>
        <v>0</v>
      </c>
      <c r="G52">
        <f>RADIO_RxDone!G52</f>
        <v>0</v>
      </c>
      <c r="H52">
        <f>RADIO_RxDone!H52</f>
        <v>0</v>
      </c>
      <c r="I52" s="2">
        <f>RADIO_RxDone!I52</f>
        <v>0</v>
      </c>
      <c r="J52">
        <f>RADIO_RxDone!J52</f>
        <v>0</v>
      </c>
    </row>
    <row r="53" spans="3:10" x14ac:dyDescent="0.25">
      <c r="C53">
        <f>RADIO_RxDone!C53</f>
        <v>0</v>
      </c>
      <c r="D53" s="2">
        <f>RADIO_RxDone!D53</f>
        <v>0</v>
      </c>
      <c r="E53">
        <f>RADIO_RxDone!E53</f>
        <v>0</v>
      </c>
      <c r="F53">
        <f>RADIO_RxDone!F53</f>
        <v>0</v>
      </c>
      <c r="G53" t="str">
        <f>RADIO_RxDone!G53</f>
        <v>uint8_t</v>
      </c>
      <c r="H53" t="str">
        <f>RADIO_RxDone!H53</f>
        <v>dataBufferLen</v>
      </c>
      <c r="I53" s="2" t="str">
        <f>RADIO_RxDone!I53</f>
        <v>REG_LORA_RXNBBYTES</v>
      </c>
      <c r="J53">
        <f>RADIO_RxDone!J53</f>
        <v>0</v>
      </c>
    </row>
    <row r="54" spans="3:10" x14ac:dyDescent="0.25">
      <c r="C54">
        <f>RADIO_RxDone!C54</f>
        <v>0</v>
      </c>
      <c r="D54" s="2">
        <f>RADIO_RxDone!D54</f>
        <v>0</v>
      </c>
      <c r="E54">
        <f>RADIO_RxDone!E54</f>
        <v>0</v>
      </c>
      <c r="F54">
        <f>RADIO_RxDone!F54</f>
        <v>0</v>
      </c>
      <c r="G54" t="str">
        <f>RADIO_RxDone!G54</f>
        <v>uint8_t *</v>
      </c>
      <c r="H54" t="str">
        <f>RADIO_RxDone!H54</f>
        <v>dataBuffer</v>
      </c>
      <c r="I54" s="2" t="str">
        <f>RADIO_RxDone!I54</f>
        <v>dane</v>
      </c>
      <c r="J54">
        <f>RADIO_RxDone!J54</f>
        <v>0</v>
      </c>
    </row>
    <row r="55" spans="3:10" x14ac:dyDescent="0.25">
      <c r="C55">
        <f>RADIO_RxDone!C55</f>
        <v>0</v>
      </c>
      <c r="D55" s="2">
        <f>RADIO_RxDone!D55</f>
        <v>0</v>
      </c>
      <c r="E55">
        <f>RADIO_RxDone!E55</f>
        <v>0</v>
      </c>
      <c r="F55">
        <f>RADIO_RxDone!F55</f>
        <v>0</v>
      </c>
      <c r="G55" t="str">
        <f>RADIO_RxDone!G55</f>
        <v>uint8_t</v>
      </c>
      <c r="H55" t="str">
        <f>RADIO_RxDone!H55</f>
        <v>timeOnAirTimerId</v>
      </c>
      <c r="I55" s="48" t="s">
        <v>5</v>
      </c>
      <c r="J55">
        <f>RADIO_RxDone!J55</f>
        <v>0</v>
      </c>
    </row>
    <row r="56" spans="3:10" x14ac:dyDescent="0.25">
      <c r="C56">
        <f>RADIO_RxDone!C56</f>
        <v>0</v>
      </c>
      <c r="D56" s="2">
        <f>RADIO_RxDone!D56</f>
        <v>0</v>
      </c>
      <c r="E56">
        <f>RADIO_RxDone!E56</f>
        <v>0</v>
      </c>
      <c r="F56">
        <f>RADIO_RxDone!F56</f>
        <v>0</v>
      </c>
      <c r="G56" t="str">
        <f>RADIO_RxDone!G56</f>
        <v>uint8_t</v>
      </c>
      <c r="H56" t="str">
        <f>RADIO_RxDone!H56</f>
        <v>fskRxWindowTimerId</v>
      </c>
      <c r="I56" s="2" t="str">
        <f>RADIO_RxDone!I56</f>
        <v>0</v>
      </c>
      <c r="J56" t="str">
        <f>RADIO_RxDone!J56</f>
        <v>RADIO_RxFSKTimeout</v>
      </c>
    </row>
    <row r="57" spans="3:10" x14ac:dyDescent="0.25">
      <c r="C57">
        <f>RADIO_RxDone!C57</f>
        <v>0</v>
      </c>
      <c r="D57" s="2">
        <f>RADIO_RxDone!D57</f>
        <v>0</v>
      </c>
      <c r="E57">
        <f>RADIO_RxDone!E57</f>
        <v>0</v>
      </c>
      <c r="F57">
        <f>RADIO_RxDone!F57</f>
        <v>0</v>
      </c>
      <c r="G57" t="str">
        <f>RADIO_RxDone!G57</f>
        <v>uint8_t</v>
      </c>
      <c r="H57" t="str">
        <f>RADIO_RxDone!H57</f>
        <v>watchdogTimerId</v>
      </c>
      <c r="I57" s="42" t="str">
        <f>I58</f>
        <v>WATCHDOG_DEFAULT_TIME</v>
      </c>
      <c r="J57" t="str">
        <f>RADIO_RxDone!J57</f>
        <v>RADIO_WatchdogTimeout</v>
      </c>
    </row>
    <row r="58" spans="3:10" x14ac:dyDescent="0.25">
      <c r="C58">
        <f>RADIO_RxDone!C58</f>
        <v>0</v>
      </c>
      <c r="D58" s="2">
        <f>RADIO_RxDone!D58</f>
        <v>0</v>
      </c>
      <c r="E58">
        <f>RADIO_RxDone!E58</f>
        <v>0</v>
      </c>
      <c r="F58">
        <f>RADIO_RxDone!F58</f>
        <v>0</v>
      </c>
      <c r="G58" t="str">
        <f>RADIO_RxDone!G58</f>
        <v>uint32_t</v>
      </c>
      <c r="H58" t="str">
        <f>RADIO_RxDone!H58</f>
        <v>watchdogTimerTimeout</v>
      </c>
      <c r="I58" s="2" t="str">
        <f>RADIO_RxDone!I58</f>
        <v>WATCHDOG_DEFAULT_TIME</v>
      </c>
      <c r="J58">
        <f>RADIO_RxDone!J58</f>
        <v>0</v>
      </c>
    </row>
    <row r="59" spans="3:10" x14ac:dyDescent="0.25">
      <c r="C59">
        <f>RADIO_RxDone!C59</f>
        <v>0</v>
      </c>
      <c r="D59" s="2">
        <f>RADIO_RxDone!D59</f>
        <v>0</v>
      </c>
      <c r="E59">
        <f>RADIO_RxDone!E59</f>
        <v>0</v>
      </c>
      <c r="F59">
        <f>RADIO_RxDone!F59</f>
        <v>0</v>
      </c>
      <c r="G59" t="str">
        <f>RADIO_RxDone!G59</f>
        <v>uint8_t</v>
      </c>
      <c r="H59" t="str">
        <f>RADIO_RxDone!H59</f>
        <v>initialized</v>
      </c>
      <c r="I59" s="2">
        <f>RADIO_RxDone!I59</f>
        <v>1</v>
      </c>
      <c r="J59">
        <f>RADIO_RxDone!J59</f>
        <v>0</v>
      </c>
    </row>
    <row r="60" spans="3:10" x14ac:dyDescent="0.25">
      <c r="C60">
        <f>RADIO_RxDone!C60</f>
        <v>0</v>
      </c>
      <c r="D60" s="2">
        <f>RADIO_RxDone!D60</f>
        <v>0</v>
      </c>
      <c r="E60">
        <f>RADIO_RxDone!E60</f>
        <v>0</v>
      </c>
      <c r="F60">
        <f>RADIO_RxDone!F60</f>
        <v>0</v>
      </c>
      <c r="G60" t="str">
        <f>RADIO_RxDone!G60</f>
        <v>uint32_t</v>
      </c>
      <c r="H60" t="str">
        <f>RADIO_RxDone!H60</f>
        <v>fhssNextFrequency</v>
      </c>
      <c r="I60" s="2" t="str">
        <f>RADIO_RxDone!I60</f>
        <v>NULL</v>
      </c>
      <c r="J60">
        <f>RADIO_RxDone!J60</f>
        <v>0</v>
      </c>
    </row>
    <row r="61" spans="3:10" x14ac:dyDescent="0.25">
      <c r="C61">
        <f>RADIO_RxDone!C61</f>
        <v>0</v>
      </c>
      <c r="D61" s="2">
        <f>RADIO_RxDone!D61</f>
        <v>0</v>
      </c>
      <c r="E61">
        <f>RADIO_RxDone!E61</f>
        <v>0</v>
      </c>
      <c r="F61">
        <f>RADIO_RxDone!F61</f>
        <v>0</v>
      </c>
      <c r="G61" t="str">
        <f>RADIO_RxDone!G61</f>
        <v>uint8_t</v>
      </c>
      <c r="H61" t="str">
        <f>RADIO_RxDone!H61</f>
        <v>regVersion</v>
      </c>
      <c r="I61" s="2" t="str">
        <f>RADIO_RxDone!I61</f>
        <v>REG_VERSION</v>
      </c>
      <c r="J61">
        <f>RADIO_RxDone!J61</f>
        <v>0</v>
      </c>
    </row>
    <row r="62" spans="3:10" x14ac:dyDescent="0.25">
      <c r="C62">
        <f>RADIO_RxDone!C62</f>
        <v>0</v>
      </c>
      <c r="D62" s="2">
        <f>RADIO_RxDone!D62</f>
        <v>0</v>
      </c>
      <c r="E62">
        <f>RADIO_RxDone!E62</f>
        <v>0</v>
      </c>
      <c r="F62">
        <f>RADIO_RxDone!F62</f>
        <v>0</v>
      </c>
      <c r="G62" t="str">
        <f>RADIO_RxDone!G62</f>
        <v>int8_t</v>
      </c>
      <c r="H62" t="str">
        <f>RADIO_RxDone!H62</f>
        <v>packetSNR</v>
      </c>
      <c r="I62" s="2" t="str">
        <f>RADIO_RxDone!I62</f>
        <v>packetSNR</v>
      </c>
      <c r="J62">
        <f>RADIO_RxDone!J62</f>
        <v>0</v>
      </c>
    </row>
    <row r="63" spans="3:10" x14ac:dyDescent="0.25">
      <c r="C63">
        <f>RADIO_RxDone!C63</f>
        <v>0</v>
      </c>
      <c r="D63" s="2">
        <f>RADIO_RxDone!D63</f>
        <v>0</v>
      </c>
      <c r="E63">
        <f>RADIO_RxDone!E63</f>
        <v>0</v>
      </c>
      <c r="F63">
        <f>RADIO_RxDone!F63</f>
        <v>0</v>
      </c>
      <c r="G63" t="str">
        <f>RADIO_RxDone!G63</f>
        <v>RadioFSKShaping_t</v>
      </c>
      <c r="H63" t="str">
        <f>RADIO_RxDone!H63</f>
        <v>fskDataShaping</v>
      </c>
      <c r="I63" s="2" t="str">
        <f>RADIO_RxDone!I63</f>
        <v>FSK_SHAPING_GAUSS_BT_0_5</v>
      </c>
      <c r="J63">
        <f>RADIO_RxDone!J63</f>
        <v>0</v>
      </c>
    </row>
    <row r="64" spans="3:10" x14ac:dyDescent="0.25">
      <c r="C64">
        <f>RADIO_RxDone!C64</f>
        <v>0</v>
      </c>
      <c r="D64" s="2">
        <f>RADIO_RxDone!D64</f>
        <v>0</v>
      </c>
      <c r="E64">
        <f>RADIO_RxDone!E64</f>
        <v>0</v>
      </c>
      <c r="F64">
        <f>RADIO_RxDone!F64</f>
        <v>0</v>
      </c>
      <c r="G64" t="str">
        <f>RADIO_RxDone!G64</f>
        <v>RadioFSKBandWidth_t</v>
      </c>
      <c r="H64" t="str">
        <f>RADIO_RxDone!H64</f>
        <v>rxBw</v>
      </c>
      <c r="I64" s="2" t="str">
        <f>RADIO_RxDone!I64</f>
        <v>FSKBW_50_0KHZ</v>
      </c>
      <c r="J64">
        <f>RADIO_RxDone!J64</f>
        <v>0</v>
      </c>
    </row>
    <row r="65" spans="3:10" x14ac:dyDescent="0.25">
      <c r="C65">
        <f>RADIO_RxDone!C65</f>
        <v>0</v>
      </c>
      <c r="D65" s="2">
        <f>RADIO_RxDone!D65</f>
        <v>0</v>
      </c>
      <c r="E65">
        <f>RADIO_RxDone!E65</f>
        <v>0</v>
      </c>
      <c r="F65">
        <f>RADIO_RxDone!F65</f>
        <v>0</v>
      </c>
      <c r="G65" t="str">
        <f>RADIO_RxDone!G65</f>
        <v>RadioFSKBandWidth_t</v>
      </c>
      <c r="H65" t="str">
        <f>RADIO_RxDone!H65</f>
        <v>afcBw</v>
      </c>
      <c r="I65" s="2" t="str">
        <f>RADIO_RxDone!I65</f>
        <v>FSKBW_83_3KHZ</v>
      </c>
      <c r="J65">
        <f>RADIO_RxDone!J65</f>
        <v>0</v>
      </c>
    </row>
    <row r="66" spans="3:10" x14ac:dyDescent="0.25">
      <c r="C66">
        <f>RADIO_RxDone!C66</f>
        <v>0</v>
      </c>
      <c r="D66" s="2">
        <f>RADIO_RxDone!D66</f>
        <v>0</v>
      </c>
      <c r="E66">
        <f>RADIO_RxDone!E66</f>
        <v>0</v>
      </c>
      <c r="F66">
        <f>RADIO_RxDone!F66</f>
        <v>0</v>
      </c>
      <c r="G66">
        <f>RADIO_RxDone!G66</f>
        <v>0</v>
      </c>
      <c r="H66">
        <f>RADIO_RxDone!H66</f>
        <v>0</v>
      </c>
      <c r="I66" s="2">
        <f>RADIO_RxDone!I66</f>
        <v>0</v>
      </c>
      <c r="J66">
        <f>RADIO_RxDone!J66</f>
        <v>0</v>
      </c>
    </row>
    <row r="67" spans="3:10" x14ac:dyDescent="0.25">
      <c r="C67">
        <f>RADIO_RxDone!C67</f>
        <v>0</v>
      </c>
      <c r="D67" s="2">
        <f>RADIO_RxDone!D67</f>
        <v>0</v>
      </c>
      <c r="E67">
        <f>RADIO_RxDone!E67</f>
        <v>0</v>
      </c>
      <c r="F67">
        <f>RADIO_RxDone!F67</f>
        <v>0</v>
      </c>
      <c r="G67">
        <f>RADIO_RxDone!G67</f>
        <v>0</v>
      </c>
      <c r="H67">
        <f>RADIO_RxDone!H67</f>
        <v>0</v>
      </c>
      <c r="I67" s="2">
        <f>RADIO_RxDone!I67</f>
        <v>0</v>
      </c>
      <c r="J67">
        <f>RADIO_RxDone!J67</f>
        <v>0</v>
      </c>
    </row>
    <row r="68" spans="3:10" x14ac:dyDescent="0.25">
      <c r="C68">
        <f>RADIO_RxDone!C68</f>
        <v>0</v>
      </c>
      <c r="D68" s="2">
        <f>RADIO_RxDone!D68</f>
        <v>0</v>
      </c>
      <c r="E68">
        <f>RADIO_RxDone!E68</f>
        <v>0</v>
      </c>
      <c r="F68">
        <f>RADIO_RxDone!F68</f>
        <v>0</v>
      </c>
      <c r="G68">
        <f>RADIO_RxDone!G68</f>
        <v>0</v>
      </c>
      <c r="H68">
        <f>RADIO_RxDone!H68</f>
        <v>0</v>
      </c>
      <c r="I68" s="2">
        <f>RADIO_RxDone!I68</f>
        <v>0</v>
      </c>
      <c r="J68">
        <f>RADIO_RxDone!J68</f>
        <v>0</v>
      </c>
    </row>
    <row r="69" spans="3:10" x14ac:dyDescent="0.25">
      <c r="C69">
        <f>RADIO_RxDone!C69</f>
        <v>0</v>
      </c>
      <c r="D69" s="2">
        <f>RADIO_RxDone!D69</f>
        <v>0</v>
      </c>
      <c r="E69">
        <f>RADIO_RxDone!E69</f>
        <v>0</v>
      </c>
      <c r="F69">
        <f>RADIO_RxDone!F69</f>
        <v>0</v>
      </c>
      <c r="G69" t="str">
        <f>RADIO_RxDone!G69</f>
        <v>ChannelParams_t</v>
      </c>
      <c r="H69" t="str">
        <f>RADIO_RxDone!H69</f>
        <v>Channels</v>
      </c>
      <c r="I69" s="2" t="str">
        <f>RADIO_RxDone!I69</f>
        <v>DefaultChannels868</v>
      </c>
      <c r="J69">
        <f>RADIO_RxDone!J69</f>
        <v>0</v>
      </c>
    </row>
    <row r="70" spans="3:10" x14ac:dyDescent="0.25">
      <c r="C70">
        <f>RADIO_RxDone!C70</f>
        <v>0</v>
      </c>
      <c r="D70" s="2">
        <f>RADIO_RxDone!D70</f>
        <v>0</v>
      </c>
      <c r="E70">
        <f>RADIO_RxDone!E70</f>
        <v>0</v>
      </c>
      <c r="F70">
        <f>RADIO_RxDone!F70</f>
        <v>0</v>
      </c>
      <c r="G70" t="str">
        <f>RADIO_RxDone!G70</f>
        <v>uint8_t</v>
      </c>
      <c r="H70" t="str">
        <f>RADIO_RxDone!H70</f>
        <v>maxPayloadSize[]</v>
      </c>
      <c r="I70" s="2" t="str">
        <f>RADIO_RxDone!I70</f>
        <v>MAX_EU_SINGLE_BAND_CHANNELS</v>
      </c>
      <c r="J70">
        <f>RADIO_RxDone!J70</f>
        <v>0</v>
      </c>
    </row>
    <row r="71" spans="3:10" x14ac:dyDescent="0.25">
      <c r="C71">
        <f>RADIO_RxDone!C71</f>
        <v>0</v>
      </c>
      <c r="D71" s="2">
        <f>RADIO_RxDone!D71</f>
        <v>0</v>
      </c>
      <c r="E71">
        <f>RADIO_RxDone!E71</f>
        <v>0</v>
      </c>
      <c r="F71">
        <f>RADIO_RxDone!F71</f>
        <v>0</v>
      </c>
      <c r="G71" t="str">
        <f>RADIO_RxDone!G71</f>
        <v>uint8_t</v>
      </c>
      <c r="H71" t="str">
        <f>RADIO_RxDone!H71</f>
        <v>modulation[]</v>
      </c>
      <c r="I71" s="2">
        <f>RADIO_RxDone!I71</f>
        <v>0</v>
      </c>
      <c r="J71">
        <f>RADIO_RxDone!J71</f>
        <v>0</v>
      </c>
    </row>
    <row r="72" spans="3:10" x14ac:dyDescent="0.25">
      <c r="C72">
        <f>RADIO_RxDone!C72</f>
        <v>0</v>
      </c>
      <c r="D72" s="2">
        <f>RADIO_RxDone!D72</f>
        <v>0</v>
      </c>
      <c r="E72">
        <f>RADIO_RxDone!E72</f>
        <v>0</v>
      </c>
      <c r="F72">
        <f>RADIO_RxDone!F72</f>
        <v>0</v>
      </c>
      <c r="G72" t="str">
        <f>RADIO_RxDone!G72</f>
        <v>uint8_t</v>
      </c>
      <c r="H72" t="str">
        <f>RADIO_RxDone!H72</f>
        <v>spreadingFactor[]</v>
      </c>
      <c r="I72" s="2">
        <f>RADIO_RxDone!I72</f>
        <v>0</v>
      </c>
      <c r="J72">
        <f>RADIO_RxDone!J72</f>
        <v>0</v>
      </c>
    </row>
    <row r="73" spans="3:10" x14ac:dyDescent="0.25">
      <c r="C73">
        <f>RADIO_RxDone!C73</f>
        <v>0</v>
      </c>
      <c r="D73" s="2">
        <f>RADIO_RxDone!D73</f>
        <v>0</v>
      </c>
      <c r="E73">
        <f>RADIO_RxDone!E73</f>
        <v>0</v>
      </c>
      <c r="F73">
        <f>RADIO_RxDone!F73</f>
        <v>0</v>
      </c>
      <c r="G73" t="str">
        <f>RADIO_RxDone!G73</f>
        <v>uint8_t</v>
      </c>
      <c r="H73" t="str">
        <f>RADIO_RxDone!H73</f>
        <v>bandwidth[]</v>
      </c>
      <c r="I73" s="2">
        <f>RADIO_RxDone!I73</f>
        <v>0</v>
      </c>
      <c r="J73">
        <f>RADIO_RxDone!J73</f>
        <v>0</v>
      </c>
    </row>
    <row r="74" spans="3:10" x14ac:dyDescent="0.25">
      <c r="C74">
        <f>RADIO_RxDone!C74</f>
        <v>0</v>
      </c>
      <c r="D74" s="2">
        <f>RADIO_RxDone!D74</f>
        <v>0</v>
      </c>
      <c r="E74">
        <f>RADIO_RxDone!E74</f>
        <v>0</v>
      </c>
      <c r="F74">
        <f>RADIO_RxDone!F74</f>
        <v>0</v>
      </c>
      <c r="G74" t="str">
        <f>RADIO_RxDone!G74</f>
        <v>uint8_t</v>
      </c>
      <c r="H74" t="str">
        <f>RADIO_RxDone!H74</f>
        <v>txPower868[]</v>
      </c>
      <c r="I74" s="2">
        <f>RADIO_RxDone!I74</f>
        <v>0</v>
      </c>
      <c r="J74">
        <f>RADIO_RxDone!J74</f>
        <v>0</v>
      </c>
    </row>
    <row r="75" spans="3:10" x14ac:dyDescent="0.25">
      <c r="C75">
        <f>RADIO_RxDone!C75</f>
        <v>0</v>
      </c>
      <c r="D75" s="2">
        <f>RADIO_RxDone!D75</f>
        <v>0</v>
      </c>
      <c r="E75">
        <f>RADIO_RxDone!E75</f>
        <v>0</v>
      </c>
      <c r="F75">
        <f>RADIO_RxDone!F75</f>
        <v>0</v>
      </c>
      <c r="G75" t="str">
        <f>RADIO_RxDone!G75</f>
        <v>uint8_t</v>
      </c>
      <c r="H75" t="str">
        <f>RADIO_RxDone!H75</f>
        <v>LoRa_radioBuffer[]</v>
      </c>
      <c r="I75" s="2" t="str">
        <f>RADIO_RxDone!I75</f>
        <v>MAXIMUM_BUFFER_LENGTH</v>
      </c>
      <c r="J75">
        <f>RADIO_RxDone!J75</f>
        <v>0</v>
      </c>
    </row>
    <row r="76" spans="3:10" x14ac:dyDescent="0.25">
      <c r="C76">
        <f>RADIO_RxDone!C76</f>
        <v>0</v>
      </c>
      <c r="D76" s="2">
        <f>RADIO_RxDone!D76</f>
        <v>0</v>
      </c>
      <c r="E76">
        <f>RADIO_RxDone!E76</f>
        <v>0</v>
      </c>
      <c r="F76">
        <f>RADIO_RxDone!F76</f>
        <v>0</v>
      </c>
      <c r="G76">
        <f>RADIO_RxDone!G76</f>
        <v>0</v>
      </c>
      <c r="H76">
        <f>RADIO_RxDone!H76</f>
        <v>0</v>
      </c>
      <c r="I76" s="2">
        <f>RADIO_RxDone!I76</f>
        <v>0</v>
      </c>
      <c r="J76">
        <f>RADIO_RxDone!J76</f>
        <v>0</v>
      </c>
    </row>
    <row r="77" spans="3:10" x14ac:dyDescent="0.25">
      <c r="C77">
        <f>RADIO_RxDone!C77</f>
        <v>0</v>
      </c>
      <c r="D77" s="2">
        <f>RADIO_RxDone!D77</f>
        <v>0</v>
      </c>
      <c r="E77">
        <f>RADIO_RxDone!E77</f>
        <v>0</v>
      </c>
      <c r="F77">
        <f>RADIO_RxDone!F77</f>
        <v>0</v>
      </c>
      <c r="G77">
        <f>RADIO_RxDone!G77</f>
        <v>0</v>
      </c>
      <c r="H77">
        <f>RADIO_RxDone!H77</f>
        <v>0</v>
      </c>
      <c r="I77" s="2">
        <f>RADIO_RxDone!I77</f>
        <v>0</v>
      </c>
      <c r="J77">
        <f>RADIO_RxDone!J77</f>
        <v>0</v>
      </c>
    </row>
    <row r="78" spans="3:10" x14ac:dyDescent="0.25"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3:10" x14ac:dyDescent="0.25">
      <c r="E79"/>
    </row>
  </sheetData>
  <hyperlinks>
    <hyperlink ref="C20" location="LoRa_TxDone_DATA!C1" display="LoRa_TxDone_DATA" xr:uid="{A120DEBD-7CC0-4BC9-B5C8-BC26409C5578}"/>
    <hyperlink ref="C21" location="LoRa_LoRa_TimerWaitAckCallback!C1" display="LoRa_TimerWaitAck_timeout" xr:uid="{440769DE-7522-475B-9AED-D3D46556C253}"/>
    <hyperlink ref="C22" location="RADIO_WatchdogTimeout!C1" display="watchdogTimerId_timeout" xr:uid="{C865B91D-F7ED-4F4E-9240-45649D0B49F6}"/>
    <hyperlink ref="C23" location="timeOnAirTimerId!C1" display="timeOnAirTimerId" xr:uid="{AF0D7B12-F4DD-4893-BA70-8612CB2618AD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Arkusz10.fill_in_LoRa_RxDone_OK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LoRa_RxDone_OK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A7EBB-340E-41FF-9170-9AF91455FE10}">
  <sheetPr codeName="Arkusz11"/>
  <dimension ref="B1:J79"/>
  <sheetViews>
    <sheetView showZeros="0" workbookViewId="0">
      <selection activeCell="C9" sqref="C9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19</v>
      </c>
      <c r="D1" s="2" t="s">
        <v>104</v>
      </c>
      <c r="E1" s="2" t="s">
        <v>105</v>
      </c>
      <c r="I1" s="2" t="s">
        <v>3</v>
      </c>
    </row>
    <row r="3" spans="2:10" x14ac:dyDescent="0.25">
      <c r="C3" t="str">
        <f>RADIO_RxDone!C3</f>
        <v>LoRa_transmitStatus</v>
      </c>
      <c r="D3" s="2" t="str">
        <f>I3</f>
        <v>LoRa_Handshaking_RX</v>
      </c>
      <c r="E3">
        <f>RADIO_RxDone!E3</f>
        <v>0</v>
      </c>
      <c r="F3">
        <f>RADIO_RxDone!F3</f>
        <v>0</v>
      </c>
      <c r="G3" t="str">
        <f>RADIO_RxDone!G3</f>
        <v>LoRaMacState_t</v>
      </c>
      <c r="H3" t="str">
        <f>RADIO_RxDone!H3</f>
        <v>LoRa_transmitStatus</v>
      </c>
      <c r="I3" s="2" t="str">
        <f>RADIO_RxDone!I3</f>
        <v>LoRa_Handshaking_RX</v>
      </c>
      <c r="J3">
        <f>RADIO_RxDone!J3</f>
        <v>0</v>
      </c>
    </row>
    <row r="4" spans="2:10" x14ac:dyDescent="0.25">
      <c r="C4" t="str">
        <f>RADIO_RxDone!C4</f>
        <v>LoRa_StatusDanych</v>
      </c>
      <c r="D4" s="2" t="str">
        <f>I4</f>
        <v>LoRa_transmiting</v>
      </c>
      <c r="E4">
        <f>RADIO_RxDone!E4</f>
        <v>0</v>
      </c>
      <c r="F4">
        <f>RADIO_RxDone!F4</f>
        <v>0</v>
      </c>
      <c r="G4" t="str">
        <f>RADIO_RxDone!G4</f>
        <v>LoRaStatus_t</v>
      </c>
      <c r="H4" t="str">
        <f>RADIO_RxDone!H4</f>
        <v>LoRa_StatusDanych</v>
      </c>
      <c r="I4" s="2" t="str">
        <f>RADIO_RxDone!I4</f>
        <v>LoRa_transmiting</v>
      </c>
      <c r="J4">
        <f>RADIO_RxDone!J4</f>
        <v>0</v>
      </c>
    </row>
    <row r="5" spans="2:10" x14ac:dyDescent="0.25">
      <c r="C5" t="str">
        <f>RADIO_RxDone!C5</f>
        <v>flags</v>
      </c>
      <c r="D5" s="2" t="str">
        <f>I47</f>
        <v>~RADIO_FLAG_RXDATA</v>
      </c>
      <c r="E5">
        <f>RADIO_RxDone!E5</f>
        <v>0</v>
      </c>
      <c r="F5">
        <f>RADIO_RxDone!F5</f>
        <v>0</v>
      </c>
      <c r="G5" t="str">
        <f>RADIO_RxDone!G5</f>
        <v>bool</v>
      </c>
      <c r="H5" t="str">
        <f>RADIO_RxDone!H5</f>
        <v>LoRa_initialised</v>
      </c>
      <c r="I5" s="2" t="str">
        <f>RADIO_RxDone!I5</f>
        <v>ENABLED</v>
      </c>
      <c r="J5">
        <f>RADIO_RxDone!J5</f>
        <v>0</v>
      </c>
    </row>
    <row r="6" spans="2:10" x14ac:dyDescent="0.25">
      <c r="C6">
        <f>RADIO_RxDone!C6</f>
        <v>0</v>
      </c>
      <c r="D6" s="2">
        <f>RADIO_RxDone!D6</f>
        <v>0</v>
      </c>
      <c r="E6">
        <f>RADIO_RxDone!E6</f>
        <v>0</v>
      </c>
      <c r="F6">
        <f>RADIO_RxDone!F6</f>
        <v>0</v>
      </c>
      <c r="G6" t="str">
        <f>RADIO_RxDone!G6</f>
        <v>FCnt_t</v>
      </c>
      <c r="H6" t="str">
        <f>RADIO_RxDone!H6</f>
        <v>LoRa_Counter</v>
      </c>
      <c r="I6" s="2" t="str">
        <f>RADIO_RxDone!I6</f>
        <v>++</v>
      </c>
      <c r="J6">
        <f>RADIO_RxDone!J6</f>
        <v>0</v>
      </c>
    </row>
    <row r="7" spans="2:10" x14ac:dyDescent="0.25">
      <c r="C7" s="16"/>
      <c r="D7" s="25"/>
      <c r="E7" s="17"/>
      <c r="F7" s="18"/>
      <c r="G7" t="str">
        <f>RADIO_RxDone!G7</f>
        <v>uint8_t</v>
      </c>
      <c r="H7" t="str">
        <f>RADIO_RxDone!H7</f>
        <v>LoRa_Addres</v>
      </c>
      <c r="I7" s="2" t="str">
        <f>RADIO_RxDone!I7</f>
        <v>LoRaDeviceAddress</v>
      </c>
      <c r="J7">
        <f>RADIO_RxDone!J7</f>
        <v>0</v>
      </c>
    </row>
    <row r="8" spans="2:10" x14ac:dyDescent="0.25">
      <c r="C8" s="19"/>
      <c r="D8" s="26"/>
      <c r="E8" s="20"/>
      <c r="F8" s="21"/>
      <c r="G8" t="str">
        <f>RADIO_RxDone!G8</f>
        <v>uint8_t</v>
      </c>
      <c r="H8" t="str">
        <f>RADIO_RxDone!H8</f>
        <v>LoRa_TimerHandshaking</v>
      </c>
      <c r="I8" s="2" t="str">
        <f>RADIO_RxDone!I8</f>
        <v>0</v>
      </c>
      <c r="J8" t="str">
        <f>RADIO_RxDone!J8</f>
        <v>LoRa_TimerHandshakingCallback</v>
      </c>
    </row>
    <row r="9" spans="2:10" x14ac:dyDescent="0.25">
      <c r="B9" s="3"/>
      <c r="C9" s="19"/>
      <c r="D9" s="26"/>
      <c r="E9" s="20"/>
      <c r="F9" s="21"/>
      <c r="G9" t="str">
        <f>RADIO_RxDone!G9</f>
        <v>uint8_t</v>
      </c>
      <c r="H9" t="str">
        <f>RADIO_RxDone!H9</f>
        <v>LoRa_TimerRetransmit</v>
      </c>
      <c r="I9" s="2" t="str">
        <f>RADIO_RxDone!I9</f>
        <v>0</v>
      </c>
      <c r="J9" t="str">
        <f>RADIO_RxDone!J9</f>
        <v>LoRa_TimerRetransmitCallback</v>
      </c>
    </row>
    <row r="10" spans="2:10" x14ac:dyDescent="0.25">
      <c r="C10" s="19"/>
      <c r="D10" s="26"/>
      <c r="E10" s="20"/>
      <c r="F10" s="21"/>
      <c r="G10" t="str">
        <f>RADIO_RxDone!G10</f>
        <v>uint8_t</v>
      </c>
      <c r="H10" t="str">
        <f>RADIO_RxDone!H10</f>
        <v>LoRa_TimerWaitAck</v>
      </c>
      <c r="I10" s="2" t="str">
        <f>RADIO_RxDone!I10</f>
        <v>0</v>
      </c>
      <c r="J10" t="str">
        <f>RADIO_RxDone!J10</f>
        <v>LoRa_TimerWaitAckCallback</v>
      </c>
    </row>
    <row r="11" spans="2:10" x14ac:dyDescent="0.25">
      <c r="C11" s="19"/>
      <c r="D11" s="26"/>
      <c r="E11" s="20"/>
      <c r="F11" s="21"/>
      <c r="G11" t="str">
        <f>RADIO_RxDone!G11</f>
        <v>uint8_t</v>
      </c>
      <c r="H11" t="str">
        <f>RADIO_RxDone!H11</f>
        <v>LoRa_HeaderBufor</v>
      </c>
      <c r="I11" s="2" t="str">
        <f>RADIO_RxDone!I11</f>
        <v>LoRa_Addres, nxt_channel</v>
      </c>
      <c r="J11">
        <f>RADIO_RxDone!J11</f>
        <v>0</v>
      </c>
    </row>
    <row r="12" spans="2:10" x14ac:dyDescent="0.25">
      <c r="C12" s="19"/>
      <c r="D12" s="26"/>
      <c r="E12" s="20"/>
      <c r="F12" s="21"/>
      <c r="G12" t="str">
        <f>RADIO_RxDone!G12</f>
        <v>uint8_t</v>
      </c>
      <c r="H12" t="str">
        <f>RADIO_RxDone!H12</f>
        <v>LoRa_HeaderLength</v>
      </c>
      <c r="I12" s="2" t="str">
        <f>RADIO_RxDone!I12</f>
        <v>bufferHeadIndex</v>
      </c>
      <c r="J12">
        <f>RADIO_RxDone!J12</f>
        <v>0</v>
      </c>
    </row>
    <row r="13" spans="2:10" x14ac:dyDescent="0.25">
      <c r="C13" s="19"/>
      <c r="D13" s="26"/>
      <c r="E13" s="20"/>
      <c r="F13" s="21"/>
      <c r="G13" t="str">
        <f>RADIO_RxDone!G13</f>
        <v>uint8_t</v>
      </c>
      <c r="H13" t="str">
        <f>RADIO_RxDone!H13</f>
        <v>LoRa_Bufor</v>
      </c>
      <c r="I13" s="2" t="str">
        <f>RADIO_RxDone!I13</f>
        <v>bufferIndex, nxt_channel, data, CRC</v>
      </c>
      <c r="J13">
        <f>RADIO_RxDone!J13</f>
        <v>0</v>
      </c>
    </row>
    <row r="14" spans="2:10" x14ac:dyDescent="0.25">
      <c r="C14" s="19"/>
      <c r="D14" s="26"/>
      <c r="E14" s="20"/>
      <c r="F14" s="21"/>
      <c r="G14" t="str">
        <f>RADIO_RxDone!G14</f>
        <v>uint8_t</v>
      </c>
      <c r="H14" t="str">
        <f>RADIO_RxDone!H14</f>
        <v>LoRa_BuforLength</v>
      </c>
      <c r="I14" s="2" t="str">
        <f>RADIO_RxDone!I14</f>
        <v>bufferIndex</v>
      </c>
      <c r="J14">
        <f>RADIO_RxDone!J14</f>
        <v>0</v>
      </c>
    </row>
    <row r="15" spans="2:10" x14ac:dyDescent="0.25">
      <c r="C15" s="19"/>
      <c r="D15" s="26"/>
      <c r="E15" s="20"/>
      <c r="F15" s="21"/>
      <c r="G15" t="str">
        <f>RADIO_RxDone!G15</f>
        <v>uint8_t</v>
      </c>
      <c r="H15" t="str">
        <f>RADIO_RxDone!H15</f>
        <v>LoRa_Command</v>
      </c>
      <c r="I15" s="2">
        <f>RADIO_RxDone!I15</f>
        <v>0</v>
      </c>
      <c r="J15">
        <f>RADIO_RxDone!J15</f>
        <v>0</v>
      </c>
    </row>
    <row r="16" spans="2:10" x14ac:dyDescent="0.25">
      <c r="C16" s="19"/>
      <c r="D16" s="26"/>
      <c r="E16" s="20"/>
      <c r="F16" s="21"/>
      <c r="G16" t="str">
        <f>RADIO_RxDone!G16</f>
        <v>uint8_t</v>
      </c>
      <c r="H16" t="str">
        <f>RADIO_RxDone!H16</f>
        <v>LoRa_maxChannels</v>
      </c>
      <c r="I16" s="2" t="str">
        <f>RADIO_RxDone!I16</f>
        <v>MAX_EU_SINGLE_BAND_CHANNELS</v>
      </c>
      <c r="J16">
        <f>RADIO_RxDone!J16</f>
        <v>0</v>
      </c>
    </row>
    <row r="17" spans="3:10" x14ac:dyDescent="0.25">
      <c r="C17" s="19"/>
      <c r="D17" s="26"/>
      <c r="E17" s="20"/>
      <c r="F17" s="21"/>
      <c r="G17" t="str">
        <f>RADIO_RxDone!G17</f>
        <v>uint8_t</v>
      </c>
      <c r="H17" t="str">
        <f>RADIO_RxDone!H17</f>
        <v>LoRa_lastUsedChannelIndex</v>
      </c>
      <c r="I17" s="2" t="str">
        <f>RADIO_RxDone!I17</f>
        <v>channelRx</v>
      </c>
      <c r="J17">
        <f>RADIO_RxDone!J17</f>
        <v>0</v>
      </c>
    </row>
    <row r="18" spans="3:10" x14ac:dyDescent="0.25">
      <c r="C18" s="19"/>
      <c r="D18" s="26"/>
      <c r="E18" s="20"/>
      <c r="F18" s="21"/>
      <c r="G18" t="str">
        <f>RADIO_RxDone!G18</f>
        <v>ReceiveWindowParameters_t</v>
      </c>
      <c r="H18" t="str">
        <f>RADIO_RxDone!H18</f>
        <v>LoRa_ch0_params.frequency</v>
      </c>
      <c r="I18" s="2" t="str">
        <f>RADIO_RxDone!I18</f>
        <v>LoRa_CH0_frequency</v>
      </c>
      <c r="J18">
        <f>RADIO_RxDone!J18</f>
        <v>0</v>
      </c>
    </row>
    <row r="19" spans="3:10" x14ac:dyDescent="0.25">
      <c r="C19" s="19"/>
      <c r="D19" s="26"/>
      <c r="E19" s="20"/>
      <c r="F19" s="21"/>
      <c r="G19">
        <f>RADIO_RxDone!G19</f>
        <v>0</v>
      </c>
      <c r="H19" t="str">
        <f>RADIO_RxDone!H19</f>
        <v>LoRa_ch0_params.datarate</v>
      </c>
      <c r="I19" s="2" t="str">
        <f>RADIO_RxDone!I19</f>
        <v>LoRa_CH0_datarate</v>
      </c>
      <c r="J19">
        <f>RADIO_RxDone!J19</f>
        <v>0</v>
      </c>
    </row>
    <row r="20" spans="3:10" x14ac:dyDescent="0.25">
      <c r="C20" s="19"/>
      <c r="D20" s="26"/>
      <c r="E20" s="20"/>
      <c r="F20" s="21"/>
      <c r="G20" t="str">
        <f>RADIO_RxDone!G20</f>
        <v>ReceiveWindowParameters_t</v>
      </c>
      <c r="H20" t="str">
        <f>RADIO_RxDone!H20</f>
        <v>LoRa_receiveChannelParameters.frequency</v>
      </c>
      <c r="I20" s="2" t="str">
        <f>RADIO_RxDone!I20</f>
        <v>LoRa_Channels[channelRxIndex].frequency</v>
      </c>
      <c r="J20">
        <f>RADIO_RxDone!J20</f>
        <v>0</v>
      </c>
    </row>
    <row r="21" spans="3:10" x14ac:dyDescent="0.25">
      <c r="C21" s="19"/>
      <c r="D21" s="26"/>
      <c r="E21" s="20"/>
      <c r="F21" s="21"/>
      <c r="G21">
        <f>RADIO_RxDone!G21</f>
        <v>0</v>
      </c>
      <c r="H21" t="str">
        <f>RADIO_RxDone!H21</f>
        <v>LoRa_receiveChannelParameters.dataRate</v>
      </c>
      <c r="I21" s="2" t="str">
        <f>RADIO_RxDone!I21</f>
        <v>LoRa_currentDataRate</v>
      </c>
      <c r="J21">
        <f>RADIO_RxDone!J21</f>
        <v>0</v>
      </c>
    </row>
    <row r="22" spans="3:10" x14ac:dyDescent="0.25">
      <c r="C22" s="19"/>
      <c r="D22" s="26"/>
      <c r="E22" s="20"/>
      <c r="F22" s="21"/>
      <c r="G22" t="str">
        <f>RADIO_RxDone!G22</f>
        <v>ReceiveWindowParameters_t</v>
      </c>
      <c r="H22" t="str">
        <f>RADIO_RxDone!H22</f>
        <v>LoRa_sendChannelParameters.frequency</v>
      </c>
      <c r="I22" s="2" t="str">
        <f>RADIO_RxDone!I22</f>
        <v>LoRa_Channels[channelRxIndex].frequency</v>
      </c>
      <c r="J22">
        <f>RADIO_RxDone!J22</f>
        <v>0</v>
      </c>
    </row>
    <row r="23" spans="3:10" x14ac:dyDescent="0.25">
      <c r="C23" s="19"/>
      <c r="D23" s="26"/>
      <c r="E23" s="20"/>
      <c r="F23" s="21"/>
      <c r="G23">
        <f>RADIO_RxDone!G23</f>
        <v>0</v>
      </c>
      <c r="H23" t="str">
        <f>RADIO_RxDone!H23</f>
        <v>LoRa_sendChannelParameters.dataRate</v>
      </c>
      <c r="I23" s="2" t="str">
        <f>RADIO_RxDone!I23</f>
        <v>LoRa_currentDataRate</v>
      </c>
      <c r="J23">
        <f>RADIO_RxDone!J23</f>
        <v>0</v>
      </c>
    </row>
    <row r="24" spans="3:10" x14ac:dyDescent="0.25">
      <c r="C24" s="22"/>
      <c r="D24" s="27"/>
      <c r="E24" s="23"/>
      <c r="F24" s="24"/>
      <c r="G24" t="str">
        <f>RADIO_RxDone!G24</f>
        <v>uint8_t</v>
      </c>
      <c r="H24" t="str">
        <f>RADIO_RxDone!H24</f>
        <v>LoRa_txPower</v>
      </c>
      <c r="I24" s="2">
        <f>RADIO_RxDone!I24</f>
        <v>1</v>
      </c>
      <c r="J24">
        <f>RADIO_RxDone!J24</f>
        <v>0</v>
      </c>
    </row>
    <row r="25" spans="3:10" x14ac:dyDescent="0.25">
      <c r="C25" t="str">
        <f>RADIO_RxDone!C25</f>
        <v>DATA</v>
      </c>
      <c r="D25" s="2" t="str">
        <f>RADIO_RxDone!D25</f>
        <v>LoRa_Addres, nxt_channel</v>
      </c>
      <c r="E25">
        <f>RADIO_RxDone!E25</f>
        <v>0</v>
      </c>
      <c r="F25">
        <f>RADIO_RxDone!F25</f>
        <v>0</v>
      </c>
      <c r="G25" t="str">
        <f>RADIO_RxDone!G25</f>
        <v>uint8_t</v>
      </c>
      <c r="H25" t="str">
        <f>RADIO_RxDone!H25</f>
        <v>LoRa_syncWord</v>
      </c>
      <c r="I25" s="2" t="str">
        <f>RADIO_RxDone!I25</f>
        <v>0x34</v>
      </c>
      <c r="J25">
        <f>RADIO_RxDone!J25</f>
        <v>0</v>
      </c>
    </row>
    <row r="26" spans="3:10" x14ac:dyDescent="0.25">
      <c r="C26" t="str">
        <f>RADIO_RxDone!C26</f>
        <v>mode</v>
      </c>
      <c r="D26" s="2" t="str">
        <f>RADIO_RxDone!D26</f>
        <v>MODE_SLEEP</v>
      </c>
      <c r="E26">
        <f>RADIO_RxDone!E26</f>
        <v>0</v>
      </c>
      <c r="F26">
        <f>RADIO_RxDone!F26</f>
        <v>0</v>
      </c>
      <c r="G26" t="str">
        <f>RADIO_RxDone!G26</f>
        <v>uint8_t</v>
      </c>
      <c r="H26" t="str">
        <f>RADIO_RxDone!H26</f>
        <v>LoRa_batteryLevel</v>
      </c>
      <c r="I26" s="2" t="str">
        <f>RADIO_RxDone!I26</f>
        <v>BATTERY_LEVEL_INVALID</v>
      </c>
      <c r="J26">
        <f>RADIO_RxDone!J26</f>
        <v>0</v>
      </c>
    </row>
    <row r="27" spans="3:10" x14ac:dyDescent="0.25">
      <c r="C27" t="str">
        <f>RADIO_RxDone!C27</f>
        <v>modulation</v>
      </c>
      <c r="D27" s="2" t="str">
        <f>RADIO_RxDone!D27</f>
        <v>modulation[LoRa_receiveChannelParameters.dataRate]</v>
      </c>
      <c r="E27">
        <f>RADIO_RxDone!E27</f>
        <v>0</v>
      </c>
      <c r="F27">
        <f>RADIO_RxDone!F27</f>
        <v>0</v>
      </c>
      <c r="G27" t="str">
        <f>RADIO_RxDone!G27</f>
        <v>IsmBand_t</v>
      </c>
      <c r="H27" t="str">
        <f>RADIO_RxDone!H27</f>
        <v>LoRa_ismBand</v>
      </c>
      <c r="I27" s="2" t="str">
        <f>RADIO_RxDone!I27</f>
        <v>ISM_EU868</v>
      </c>
      <c r="J27">
        <f>RADIO_RxDone!J27</f>
        <v>0</v>
      </c>
    </row>
    <row r="28" spans="3:10" x14ac:dyDescent="0.25">
      <c r="C28" t="str">
        <f>RADIO_RxDone!C28</f>
        <v>frequency</v>
      </c>
      <c r="D28" s="2" t="str">
        <f>RADIO_RxDone!D28</f>
        <v>LoRa_receiveChannelParameters.frequency</v>
      </c>
      <c r="E28">
        <f>RADIO_RxDone!E28</f>
        <v>0</v>
      </c>
      <c r="F28">
        <f>RADIO_RxDone!F28</f>
        <v>0</v>
      </c>
      <c r="G28" t="str">
        <f>RADIO_RxDone!G28</f>
        <v>uint8_t</v>
      </c>
      <c r="H28" t="str">
        <f>RADIO_RxDone!H28</f>
        <v>LoRa_currentDataRate</v>
      </c>
      <c r="I28" s="2" t="str">
        <f>RADIO_RxDone!I28</f>
        <v>DR0</v>
      </c>
      <c r="J28">
        <f>RADIO_RxDone!J28</f>
        <v>0</v>
      </c>
    </row>
    <row r="29" spans="3:10" x14ac:dyDescent="0.25">
      <c r="C29" t="str">
        <f>RADIO_RxDone!C29</f>
        <v>payload</v>
      </c>
      <c r="D29" s="2">
        <f>RADIO_RxDone!D29</f>
        <v>1</v>
      </c>
      <c r="E29">
        <f>RADIO_RxDone!E29</f>
        <v>0</v>
      </c>
      <c r="F29">
        <f>RADIO_RxDone!F29</f>
        <v>0</v>
      </c>
      <c r="G29" t="str">
        <f>RADIO_RxDone!G29</f>
        <v>uint8_t</v>
      </c>
      <c r="H29" t="str">
        <f>RADIO_RxDone!H29</f>
        <v>LoRa_minDataRate</v>
      </c>
      <c r="I29" s="2" t="str">
        <f>RADIO_RxDone!I29</f>
        <v>DR0</v>
      </c>
      <c r="J29">
        <f>RADIO_RxDone!J29</f>
        <v>0</v>
      </c>
    </row>
    <row r="30" spans="3:10" x14ac:dyDescent="0.25">
      <c r="C30" t="str">
        <f>RADIO_RxDone!C30</f>
        <v>power</v>
      </c>
      <c r="D30" s="2" t="str">
        <f>RADIO_RxDone!D30</f>
        <v>txPower868[LoRa_txPower]</v>
      </c>
      <c r="E30">
        <f>RADIO_RxDone!E30</f>
        <v>0</v>
      </c>
      <c r="F30">
        <f>RADIO_RxDone!F30</f>
        <v>0</v>
      </c>
      <c r="G30" t="str">
        <f>RADIO_RxDone!G30</f>
        <v>uint8_t</v>
      </c>
      <c r="H30" t="str">
        <f>RADIO_RxDone!H30</f>
        <v>LoRa_maxDataRate</v>
      </c>
      <c r="I30" s="2" t="str">
        <f>RADIO_RxDone!I30</f>
        <v>DR7</v>
      </c>
      <c r="J30">
        <f>RADIO_RxDone!J30</f>
        <v>0</v>
      </c>
    </row>
    <row r="31" spans="3:10" x14ac:dyDescent="0.25">
      <c r="C31" t="str">
        <f>RADIO_RxDone!C31</f>
        <v>SpreadingFactor</v>
      </c>
      <c r="D31" s="2" t="str">
        <f>RADIO_RxDone!D31</f>
        <v>spreadingFactor[LoRa_receiveChannelParameters.dataRate]</v>
      </c>
      <c r="E31">
        <f>RADIO_RxDone!E31</f>
        <v>0</v>
      </c>
      <c r="F31">
        <f>RADIO_RxDone!F31</f>
        <v>0</v>
      </c>
      <c r="G31" t="str">
        <f>RADIO_RxDone!G31</f>
        <v>uint8_t</v>
      </c>
      <c r="H31" t="str">
        <f>RADIO_RxDone!H31</f>
        <v>LoRa_nextUsedChannel</v>
      </c>
      <c r="I31" s="2">
        <f>RADIO_RxDone!I31</f>
        <v>0</v>
      </c>
      <c r="J31">
        <f>RADIO_RxDone!J31</f>
        <v>0</v>
      </c>
    </row>
    <row r="32" spans="3:10" x14ac:dyDescent="0.25">
      <c r="C32" t="str">
        <f>RADIO_RxDone!C32</f>
        <v>Bandwidth</v>
      </c>
      <c r="D32" s="2" t="str">
        <f>RADIO_RxDone!D32</f>
        <v>bandwidth[LoRa_receiveChannelParameters.dataRate]</v>
      </c>
      <c r="E32">
        <f>RADIO_RxDone!E32</f>
        <v>0</v>
      </c>
      <c r="F32">
        <f>RADIO_RxDone!F32</f>
        <v>0</v>
      </c>
      <c r="G32">
        <f>RADIO_RxDone!G32</f>
        <v>0</v>
      </c>
      <c r="H32">
        <f>RADIO_RxDone!H32</f>
        <v>0</v>
      </c>
      <c r="I32" s="2">
        <f>RADIO_RxDone!I32</f>
        <v>0</v>
      </c>
      <c r="J32">
        <f>RADIO_RxDone!J32</f>
        <v>0</v>
      </c>
    </row>
    <row r="33" spans="3:10" x14ac:dyDescent="0.25">
      <c r="C33" t="str">
        <f>RADIO_RxDone!C33</f>
        <v>SyncWord</v>
      </c>
      <c r="D33" s="2" t="str">
        <f>RADIO_RxDone!D33</f>
        <v>LoRa_syncWord</v>
      </c>
      <c r="E33">
        <f>RADIO_RxDone!E33</f>
        <v>0</v>
      </c>
      <c r="F33">
        <f>RADIO_RxDone!F33</f>
        <v>0</v>
      </c>
      <c r="G33">
        <f>RADIO_RxDone!G33</f>
        <v>0</v>
      </c>
      <c r="H33">
        <f>RADIO_RxDone!H33</f>
        <v>0</v>
      </c>
      <c r="I33" s="2">
        <f>RADIO_RxDone!I33</f>
        <v>0</v>
      </c>
      <c r="J33">
        <f>RADIO_RxDone!J33</f>
        <v>0</v>
      </c>
    </row>
    <row r="34" spans="3:10" x14ac:dyDescent="0.25">
      <c r="C34" t="str">
        <f>RADIO_RxDone!C34</f>
        <v>CRC</v>
      </c>
      <c r="D34" s="2" t="str">
        <f>RADIO_RxDone!D34</f>
        <v>DISABLED</v>
      </c>
      <c r="E34">
        <f>RADIO_RxDone!E34</f>
        <v>0</v>
      </c>
      <c r="F34">
        <f>RADIO_RxDone!F34</f>
        <v>0</v>
      </c>
      <c r="G34" t="str">
        <f>RADIO_RxDone!G34</f>
        <v>uint32_t</v>
      </c>
      <c r="H34" t="str">
        <f>RADIO_RxDone!H34</f>
        <v>frequency</v>
      </c>
      <c r="I34" s="2" t="str">
        <f>RADIO_RxDone!I34</f>
        <v>LoRa_receiveChannelParameters.frequency</v>
      </c>
      <c r="J34">
        <f>RADIO_RxDone!J34</f>
        <v>0</v>
      </c>
    </row>
    <row r="35" spans="3:10" x14ac:dyDescent="0.25">
      <c r="C35" t="str">
        <f>RADIO_RxDone!C35</f>
        <v>IQInverted</v>
      </c>
      <c r="D35" s="2" t="str">
        <f>RADIO_RxDone!D35</f>
        <v>ENABLED</v>
      </c>
      <c r="E35">
        <f>RADIO_RxDone!E35</f>
        <v>0</v>
      </c>
      <c r="F35">
        <f>RADIO_RxDone!F35</f>
        <v>0</v>
      </c>
      <c r="G35" t="str">
        <f>RADIO_RxDone!G35</f>
        <v>uint32_t</v>
      </c>
      <c r="H35" t="str">
        <f>RADIO_RxDone!H35</f>
        <v>frequencyDeviation</v>
      </c>
      <c r="I35" s="2">
        <f>RADIO_RxDone!I35</f>
        <v>25000</v>
      </c>
      <c r="J35">
        <f>RADIO_RxDone!J35</f>
        <v>0</v>
      </c>
    </row>
    <row r="36" spans="3:10" x14ac:dyDescent="0.25">
      <c r="C36" t="str">
        <f>RADIO_RxDone!C36</f>
        <v>HopPeriod</v>
      </c>
      <c r="D36" s="2" t="str">
        <f>RADIO_RxDone!D36</f>
        <v>DISABLED</v>
      </c>
      <c r="E36">
        <f>RADIO_RxDone!E36</f>
        <v>0</v>
      </c>
      <c r="F36">
        <f>RADIO_RxDone!F36</f>
        <v>0</v>
      </c>
      <c r="G36" t="str">
        <f>RADIO_RxDone!G36</f>
        <v>uint32_t</v>
      </c>
      <c r="H36" t="str">
        <f>RADIO_RxDone!H36</f>
        <v>bitRate</v>
      </c>
      <c r="I36" s="2">
        <f>RADIO_RxDone!I36</f>
        <v>50000</v>
      </c>
      <c r="J36">
        <f>RADIO_RxDone!J36</f>
        <v>0</v>
      </c>
    </row>
    <row r="37" spans="3:10" x14ac:dyDescent="0.25">
      <c r="C37" t="str">
        <f>RADIO_RxDone!C37</f>
        <v>errorCodingRate</v>
      </c>
      <c r="D37" s="2" t="str">
        <f>RADIO_RxDone!D37</f>
        <v>CR_4_5</v>
      </c>
      <c r="E37">
        <f>RADIO_RxDone!E37</f>
        <v>0</v>
      </c>
      <c r="F37">
        <f>RADIO_RxDone!F37</f>
        <v>0</v>
      </c>
      <c r="G37" t="str">
        <f>RADIO_RxDone!G37</f>
        <v>uint16_t</v>
      </c>
      <c r="H37" t="str">
        <f>RADIO_RxDone!H37</f>
        <v>preambleLen</v>
      </c>
      <c r="I37" s="2">
        <f>RADIO_RxDone!I37</f>
        <v>8</v>
      </c>
      <c r="J37">
        <f>RADIO_RxDone!J37</f>
        <v>0</v>
      </c>
    </row>
    <row r="38" spans="3:10" x14ac:dyDescent="0.25">
      <c r="C38" t="str">
        <f>RADIO_RxDone!C38</f>
        <v>implicitHeaderMode</v>
      </c>
      <c r="D38" s="2" t="str">
        <f>RADIO_RxDone!D38</f>
        <v>0</v>
      </c>
      <c r="E38">
        <f>RADIO_RxDone!E38</f>
        <v>0</v>
      </c>
      <c r="F38">
        <f>RADIO_RxDone!F38</f>
        <v>0</v>
      </c>
      <c r="G38" t="str">
        <f>RADIO_RxDone!G38</f>
        <v>uint8_t</v>
      </c>
      <c r="H38" t="str">
        <f>RADIO_RxDone!H38</f>
        <v>syncWordLoRa</v>
      </c>
      <c r="I38" s="2" t="str">
        <f>RADIO_RxDone!I38</f>
        <v>LoRa_syncWord</v>
      </c>
      <c r="J38">
        <f>RADIO_RxDone!J38</f>
        <v>0</v>
      </c>
    </row>
    <row r="39" spans="3:10" x14ac:dyDescent="0.25">
      <c r="C39" t="str">
        <f>RADIO_RxDone!C39</f>
        <v>preambleLen</v>
      </c>
      <c r="D39" s="2">
        <f>RADIO_RxDone!D39</f>
        <v>8</v>
      </c>
      <c r="E39">
        <f>RADIO_RxDone!E39</f>
        <v>0</v>
      </c>
      <c r="F39">
        <f>RADIO_RxDone!F39</f>
        <v>0</v>
      </c>
      <c r="G39" t="str">
        <f>RADIO_RxDone!G39</f>
        <v>uint8_t</v>
      </c>
      <c r="H39" t="str">
        <f>RADIO_RxDone!H39</f>
        <v>syncWord</v>
      </c>
      <c r="I39" s="2" t="str">
        <f>RADIO_RxDone!I39</f>
        <v>0xc1 0x94 0xc1</v>
      </c>
      <c r="J39">
        <f>RADIO_RxDone!J39</f>
        <v>0</v>
      </c>
    </row>
    <row r="40" spans="3:10" x14ac:dyDescent="0.25">
      <c r="C40" t="str">
        <f>RADIO_RxDone!C40</f>
        <v>symbolTimeout</v>
      </c>
      <c r="D40" s="2">
        <f>RADIO_RxDone!D40</f>
        <v>4</v>
      </c>
      <c r="E40">
        <f>RADIO_RxDone!E40</f>
        <v>0</v>
      </c>
      <c r="F40">
        <f>RADIO_RxDone!F40</f>
        <v>0</v>
      </c>
      <c r="G40" t="str">
        <f>RADIO_RxDone!G40</f>
        <v>uint8_t</v>
      </c>
      <c r="H40" t="str">
        <f>RADIO_RxDone!H40</f>
        <v>syncWordLen</v>
      </c>
      <c r="I40" s="2">
        <f>RADIO_RxDone!I40</f>
        <v>3</v>
      </c>
      <c r="J40">
        <f>RADIO_RxDone!J40</f>
        <v>0</v>
      </c>
    </row>
    <row r="41" spans="3:10" x14ac:dyDescent="0.25">
      <c r="C41" t="str">
        <f>RADIO_RxDone!C41</f>
        <v>FSKfreqDeviation</v>
      </c>
      <c r="D41" s="2">
        <f>RADIO_RxDone!D41</f>
        <v>25000</v>
      </c>
      <c r="E41">
        <f>RADIO_RxDone!E41</f>
        <v>0</v>
      </c>
      <c r="F41">
        <f>RADIO_RxDone!F41</f>
        <v>0</v>
      </c>
      <c r="G41" t="str">
        <f>RADIO_RxDone!G41</f>
        <v>RadioModulation_t</v>
      </c>
      <c r="H41" t="str">
        <f>RADIO_RxDone!H41</f>
        <v>modulation</v>
      </c>
      <c r="I41" s="2" t="str">
        <f>RADIO_RxDone!I41</f>
        <v>modulation[LoRa_receiveChannelParameters.dataRate]</v>
      </c>
      <c r="J41">
        <f>RADIO_RxDone!J41</f>
        <v>0</v>
      </c>
    </row>
    <row r="42" spans="3:10" x14ac:dyDescent="0.25">
      <c r="C42" t="str">
        <f>RADIO_RxDone!C42</f>
        <v>FSKBitRate</v>
      </c>
      <c r="D42" s="2">
        <f>RADIO_RxDone!D42</f>
        <v>50000</v>
      </c>
      <c r="E42">
        <f>RADIO_RxDone!E42</f>
        <v>0</v>
      </c>
      <c r="F42">
        <f>RADIO_RxDone!F42</f>
        <v>0</v>
      </c>
      <c r="G42" t="str">
        <f>RADIO_RxDone!G42</f>
        <v>RadioDataRate_t</v>
      </c>
      <c r="H42" t="str">
        <f>RADIO_RxDone!H42</f>
        <v>dataRate</v>
      </c>
      <c r="I42" s="2" t="str">
        <f>RADIO_RxDone!I42</f>
        <v>spreadingFactor[LoRa_receiveChannelParameters.dataRate]</v>
      </c>
      <c r="J42">
        <f>RADIO_RxDone!J42</f>
        <v>0</v>
      </c>
    </row>
    <row r="43" spans="3:10" x14ac:dyDescent="0.25">
      <c r="C43" t="str">
        <f>RADIO_RxDone!C43</f>
        <v>FSK_PREAMBLE</v>
      </c>
      <c r="D43" s="2">
        <f>RADIO_RxDone!D43</f>
        <v>8</v>
      </c>
      <c r="E43">
        <f>RADIO_RxDone!E43</f>
        <v>0</v>
      </c>
      <c r="F43">
        <f>RADIO_RxDone!F43</f>
        <v>0</v>
      </c>
      <c r="G43" t="str">
        <f>RADIO_RxDone!G43</f>
        <v>RadioLoRaBandWidth_t</v>
      </c>
      <c r="H43" t="str">
        <f>RADIO_RxDone!H43</f>
        <v>bandWidth</v>
      </c>
      <c r="I43" s="2" t="str">
        <f>RADIO_RxDone!I43</f>
        <v>bandwidth[LoRa_receiveChannelParameters.dataRate]</v>
      </c>
      <c r="J43">
        <f>RADIO_RxDone!J43</f>
        <v>0</v>
      </c>
    </row>
    <row r="44" spans="3:10" x14ac:dyDescent="0.25">
      <c r="C44" t="str">
        <f>RADIO_RxDone!C44</f>
        <v>fskDataShaping</v>
      </c>
      <c r="D44" s="2" t="str">
        <f>RADIO_RxDone!D44</f>
        <v>FSK_SHAPING_GAUSS_BT_0_5</v>
      </c>
      <c r="E44">
        <f>RADIO_RxDone!E44</f>
        <v>0</v>
      </c>
      <c r="F44">
        <f>RADIO_RxDone!F44</f>
        <v>0</v>
      </c>
      <c r="G44" t="str">
        <f>RADIO_RxDone!G44</f>
        <v>int8_t</v>
      </c>
      <c r="H44" t="str">
        <f>RADIO_RxDone!H44</f>
        <v>outputPower</v>
      </c>
      <c r="I44" s="2" t="str">
        <f>RADIO_RxDone!I44</f>
        <v>txPower868[LoRa_txPower]</v>
      </c>
      <c r="J44">
        <f>RADIO_RxDone!J44</f>
        <v>0</v>
      </c>
    </row>
    <row r="45" spans="3:10" x14ac:dyDescent="0.25">
      <c r="C45">
        <f>RADIO_RxDone!C45</f>
        <v>0</v>
      </c>
      <c r="D45" s="2">
        <f>RADIO_RxDone!D45</f>
        <v>0</v>
      </c>
      <c r="E45">
        <f>RADIO_RxDone!E45</f>
        <v>0</v>
      </c>
      <c r="F45">
        <f>RADIO_RxDone!F45</f>
        <v>0</v>
      </c>
      <c r="G45" t="str">
        <f>RADIO_RxDone!G45</f>
        <v>uint8_t</v>
      </c>
      <c r="H45" t="str">
        <f>RADIO_RxDone!H45</f>
        <v>crcOn</v>
      </c>
      <c r="I45" s="2" t="str">
        <f>RADIO_RxDone!I45</f>
        <v>DISABLED</v>
      </c>
      <c r="J45">
        <f>RADIO_RxDone!J45</f>
        <v>0</v>
      </c>
    </row>
    <row r="46" spans="3:10" x14ac:dyDescent="0.25">
      <c r="C46">
        <f>RADIO_RxDone!C46</f>
        <v>0</v>
      </c>
      <c r="D46" s="2">
        <f>RADIO_RxDone!D46</f>
        <v>0</v>
      </c>
      <c r="E46">
        <f>RADIO_RxDone!E46</f>
        <v>0</v>
      </c>
      <c r="F46">
        <f>RADIO_RxDone!F46</f>
        <v>0</v>
      </c>
      <c r="G46" t="str">
        <f>RADIO_RxDone!G46</f>
        <v>uint8_t</v>
      </c>
      <c r="H46" t="str">
        <f>RADIO_RxDone!H46</f>
        <v>paBoost</v>
      </c>
      <c r="I46" s="2" t="str">
        <f>RADIO_RxDone!I46</f>
        <v>0</v>
      </c>
      <c r="J46">
        <f>RADIO_RxDone!J46</f>
        <v>0</v>
      </c>
    </row>
    <row r="47" spans="3:10" x14ac:dyDescent="0.25">
      <c r="C47">
        <f>RADIO_RxDone!C47</f>
        <v>0</v>
      </c>
      <c r="D47" s="2">
        <f>RADIO_RxDone!D47</f>
        <v>0</v>
      </c>
      <c r="E47">
        <f>RADIO_RxDone!E47</f>
        <v>0</v>
      </c>
      <c r="F47">
        <f>RADIO_RxDone!F47</f>
        <v>0</v>
      </c>
      <c r="G47" t="str">
        <f>RADIO_RxDone!G47</f>
        <v>uint8_t</v>
      </c>
      <c r="H47" t="str">
        <f>RADIO_RxDone!H47</f>
        <v>flags</v>
      </c>
      <c r="I47" s="2" t="str">
        <f>RADIO_RxDone!I47</f>
        <v>~RADIO_FLAG_RXDATA</v>
      </c>
      <c r="J47">
        <f>RADIO_RxDone!J47</f>
        <v>0</v>
      </c>
    </row>
    <row r="48" spans="3:10" x14ac:dyDescent="0.25">
      <c r="C48">
        <f>RADIO_RxDone!C48</f>
        <v>0</v>
      </c>
      <c r="D48" s="2">
        <f>RADIO_RxDone!D48</f>
        <v>0</v>
      </c>
      <c r="E48">
        <f>RADIO_RxDone!E48</f>
        <v>0</v>
      </c>
      <c r="F48">
        <f>RADIO_RxDone!F48</f>
        <v>0</v>
      </c>
      <c r="G48" t="str">
        <f>RADIO_RxDone!G48</f>
        <v>uint16_t</v>
      </c>
      <c r="H48" t="str">
        <f>RADIO_RxDone!H48</f>
        <v>frequencyHopPeriod</v>
      </c>
      <c r="I48" s="2" t="str">
        <f>RADIO_RxDone!I48</f>
        <v>DISABLED</v>
      </c>
      <c r="J48" t="str">
        <f>RADIO_RxDone!J48</f>
        <v>RADIO_FLAG_RECEIVING</v>
      </c>
    </row>
    <row r="49" spans="3:10" x14ac:dyDescent="0.25">
      <c r="C49">
        <f>RADIO_RxDone!C49</f>
        <v>0</v>
      </c>
      <c r="D49" s="2">
        <f>RADIO_RxDone!D49</f>
        <v>0</v>
      </c>
      <c r="E49">
        <f>RADIO_RxDone!E49</f>
        <v>0</v>
      </c>
      <c r="F49">
        <f>RADIO_RxDone!F49</f>
        <v>0</v>
      </c>
      <c r="G49" t="str">
        <f>RADIO_RxDone!G49</f>
        <v>uint8_t</v>
      </c>
      <c r="H49" t="str">
        <f>RADIO_RxDone!H49</f>
        <v>iqInverted</v>
      </c>
      <c r="I49" s="2" t="str">
        <f>RADIO_RxDone!I49</f>
        <v>ENABLED</v>
      </c>
      <c r="J49">
        <f>RADIO_RxDone!J49</f>
        <v>0</v>
      </c>
    </row>
    <row r="50" spans="3:10" x14ac:dyDescent="0.25">
      <c r="C50">
        <f>RADIO_RxDone!C50</f>
        <v>0</v>
      </c>
      <c r="D50" s="2">
        <f>RADIO_RxDone!D50</f>
        <v>0</v>
      </c>
      <c r="E50">
        <f>RADIO_RxDone!E50</f>
        <v>0</v>
      </c>
      <c r="F50">
        <f>RADIO_RxDone!F50</f>
        <v>0</v>
      </c>
      <c r="G50" t="str">
        <f>RADIO_RxDone!G50</f>
        <v>RadioErrorCodingRate_t</v>
      </c>
      <c r="H50" t="str">
        <f>RADIO_RxDone!H50</f>
        <v>errorCodingRate</v>
      </c>
      <c r="I50" s="2" t="str">
        <f>RADIO_RxDone!I50</f>
        <v>CR_4_5</v>
      </c>
      <c r="J50">
        <f>RADIO_RxDone!J50</f>
        <v>0</v>
      </c>
    </row>
    <row r="51" spans="3:10" x14ac:dyDescent="0.25">
      <c r="C51">
        <f>RADIO_RxDone!C51</f>
        <v>0</v>
      </c>
      <c r="D51" s="2">
        <f>RADIO_RxDone!D51</f>
        <v>0</v>
      </c>
      <c r="E51">
        <f>RADIO_RxDone!E51</f>
        <v>0</v>
      </c>
      <c r="F51">
        <f>RADIO_RxDone!F51</f>
        <v>0</v>
      </c>
      <c r="G51" t="str">
        <f>RADIO_RxDone!G51</f>
        <v>uint8_t</v>
      </c>
      <c r="H51" t="str">
        <f>RADIO_RxDone!H51</f>
        <v>implicitHeaderMode</v>
      </c>
      <c r="I51" s="2" t="str">
        <f>RADIO_RxDone!I51</f>
        <v>0</v>
      </c>
      <c r="J51">
        <f>RADIO_RxDone!J51</f>
        <v>0</v>
      </c>
    </row>
    <row r="52" spans="3:10" x14ac:dyDescent="0.25">
      <c r="C52">
        <f>RADIO_RxDone!C52</f>
        <v>0</v>
      </c>
      <c r="D52" s="2">
        <f>RADIO_RxDone!D52</f>
        <v>0</v>
      </c>
      <c r="E52">
        <f>RADIO_RxDone!E52</f>
        <v>0</v>
      </c>
      <c r="F52">
        <f>RADIO_RxDone!F52</f>
        <v>0</v>
      </c>
      <c r="G52">
        <f>RADIO_RxDone!G52</f>
        <v>0</v>
      </c>
      <c r="H52">
        <f>RADIO_RxDone!H52</f>
        <v>0</v>
      </c>
      <c r="I52" s="2">
        <f>RADIO_RxDone!I52</f>
        <v>0</v>
      </c>
      <c r="J52">
        <f>RADIO_RxDone!J52</f>
        <v>0</v>
      </c>
    </row>
    <row r="53" spans="3:10" x14ac:dyDescent="0.25">
      <c r="C53">
        <f>RADIO_RxDone!C53</f>
        <v>0</v>
      </c>
      <c r="D53" s="2">
        <f>RADIO_RxDone!D53</f>
        <v>0</v>
      </c>
      <c r="E53">
        <f>RADIO_RxDone!E53</f>
        <v>0</v>
      </c>
      <c r="F53">
        <f>RADIO_RxDone!F53</f>
        <v>0</v>
      </c>
      <c r="G53" t="str">
        <f>RADIO_RxDone!G53</f>
        <v>uint8_t</v>
      </c>
      <c r="H53" t="str">
        <f>RADIO_RxDone!H53</f>
        <v>dataBufferLen</v>
      </c>
      <c r="I53" s="2" t="str">
        <f>RADIO_RxDone!I53</f>
        <v>REG_LORA_RXNBBYTES</v>
      </c>
      <c r="J53">
        <f>RADIO_RxDone!J53</f>
        <v>0</v>
      </c>
    </row>
    <row r="54" spans="3:10" x14ac:dyDescent="0.25">
      <c r="C54">
        <f>RADIO_RxDone!C54</f>
        <v>0</v>
      </c>
      <c r="D54" s="2">
        <f>RADIO_RxDone!D54</f>
        <v>0</v>
      </c>
      <c r="E54">
        <f>RADIO_RxDone!E54</f>
        <v>0</v>
      </c>
      <c r="F54">
        <f>RADIO_RxDone!F54</f>
        <v>0</v>
      </c>
      <c r="G54" t="str">
        <f>RADIO_RxDone!G54</f>
        <v>uint8_t *</v>
      </c>
      <c r="H54" t="str">
        <f>RADIO_RxDone!H54</f>
        <v>dataBuffer</v>
      </c>
      <c r="I54" s="2" t="str">
        <f>RADIO_RxDone!I54</f>
        <v>dane</v>
      </c>
      <c r="J54">
        <f>RADIO_RxDone!J54</f>
        <v>0</v>
      </c>
    </row>
    <row r="55" spans="3:10" x14ac:dyDescent="0.25">
      <c r="C55">
        <f>RADIO_RxDone!C55</f>
        <v>0</v>
      </c>
      <c r="D55" s="2">
        <f>RADIO_RxDone!D55</f>
        <v>0</v>
      </c>
      <c r="E55">
        <f>RADIO_RxDone!E55</f>
        <v>0</v>
      </c>
      <c r="F55">
        <f>RADIO_RxDone!F55</f>
        <v>0</v>
      </c>
      <c r="G55" t="str">
        <f>RADIO_RxDone!G55</f>
        <v>uint8_t</v>
      </c>
      <c r="H55" t="str">
        <f>RADIO_RxDone!H55</f>
        <v>timeOnAirTimerId</v>
      </c>
      <c r="I55" s="2" t="str">
        <f>RADIO_RxDone!I55</f>
        <v>TIME_ON_AIR_LOAD_VALUE</v>
      </c>
      <c r="J55">
        <f>RADIO_RxDone!J55</f>
        <v>0</v>
      </c>
    </row>
    <row r="56" spans="3:10" x14ac:dyDescent="0.25">
      <c r="C56">
        <f>RADIO_RxDone!C56</f>
        <v>0</v>
      </c>
      <c r="D56" s="2">
        <f>RADIO_RxDone!D56</f>
        <v>0</v>
      </c>
      <c r="E56">
        <f>RADIO_RxDone!E56</f>
        <v>0</v>
      </c>
      <c r="F56">
        <f>RADIO_RxDone!F56</f>
        <v>0</v>
      </c>
      <c r="G56" t="str">
        <f>RADIO_RxDone!G56</f>
        <v>uint8_t</v>
      </c>
      <c r="H56" t="str">
        <f>RADIO_RxDone!H56</f>
        <v>fskRxWindowTimerId</v>
      </c>
      <c r="I56" s="2" t="str">
        <f>RADIO_RxDone!I56</f>
        <v>0</v>
      </c>
      <c r="J56" t="str">
        <f>RADIO_RxDone!J56</f>
        <v>RADIO_RxFSKTimeout</v>
      </c>
    </row>
    <row r="57" spans="3:10" x14ac:dyDescent="0.25">
      <c r="C57">
        <f>RADIO_RxDone!C57</f>
        <v>0</v>
      </c>
      <c r="D57" s="2">
        <f>RADIO_RxDone!D57</f>
        <v>0</v>
      </c>
      <c r="E57">
        <f>RADIO_RxDone!E57</f>
        <v>0</v>
      </c>
      <c r="F57">
        <f>RADIO_RxDone!F57</f>
        <v>0</v>
      </c>
      <c r="G57" t="str">
        <f>RADIO_RxDone!G57</f>
        <v>uint8_t</v>
      </c>
      <c r="H57" t="str">
        <f>RADIO_RxDone!H57</f>
        <v>watchdogTimerId</v>
      </c>
      <c r="I57" s="2" t="str">
        <f>RADIO_RxDone!I57</f>
        <v>0</v>
      </c>
      <c r="J57" t="str">
        <f>RADIO_RxDone!J57</f>
        <v>RADIO_WatchdogTimeout</v>
      </c>
    </row>
    <row r="58" spans="3:10" x14ac:dyDescent="0.25">
      <c r="C58">
        <f>RADIO_RxDone!C58</f>
        <v>0</v>
      </c>
      <c r="D58" s="2">
        <f>RADIO_RxDone!D58</f>
        <v>0</v>
      </c>
      <c r="E58">
        <f>RADIO_RxDone!E58</f>
        <v>0</v>
      </c>
      <c r="F58">
        <f>RADIO_RxDone!F58</f>
        <v>0</v>
      </c>
      <c r="G58" t="str">
        <f>RADIO_RxDone!G58</f>
        <v>uint32_t</v>
      </c>
      <c r="H58" t="str">
        <f>RADIO_RxDone!H58</f>
        <v>watchdogTimerTimeout</v>
      </c>
      <c r="I58" s="2" t="str">
        <f>RADIO_RxDone!I58</f>
        <v>WATCHDOG_DEFAULT_TIME</v>
      </c>
      <c r="J58">
        <f>RADIO_RxDone!J58</f>
        <v>0</v>
      </c>
    </row>
    <row r="59" spans="3:10" x14ac:dyDescent="0.25">
      <c r="C59">
        <f>RADIO_RxDone!C59</f>
        <v>0</v>
      </c>
      <c r="D59" s="2">
        <f>RADIO_RxDone!D59</f>
        <v>0</v>
      </c>
      <c r="E59">
        <f>RADIO_RxDone!E59</f>
        <v>0</v>
      </c>
      <c r="F59">
        <f>RADIO_RxDone!F59</f>
        <v>0</v>
      </c>
      <c r="G59" t="str">
        <f>RADIO_RxDone!G59</f>
        <v>uint8_t</v>
      </c>
      <c r="H59" t="str">
        <f>RADIO_RxDone!H59</f>
        <v>initialized</v>
      </c>
      <c r="I59" s="2">
        <f>RADIO_RxDone!I59</f>
        <v>1</v>
      </c>
      <c r="J59">
        <f>RADIO_RxDone!J59</f>
        <v>0</v>
      </c>
    </row>
    <row r="60" spans="3:10" x14ac:dyDescent="0.25">
      <c r="C60">
        <f>RADIO_RxDone!C60</f>
        <v>0</v>
      </c>
      <c r="D60" s="2">
        <f>RADIO_RxDone!D60</f>
        <v>0</v>
      </c>
      <c r="E60">
        <f>RADIO_RxDone!E60</f>
        <v>0</v>
      </c>
      <c r="F60">
        <f>RADIO_RxDone!F60</f>
        <v>0</v>
      </c>
      <c r="G60" t="str">
        <f>RADIO_RxDone!G60</f>
        <v>uint32_t</v>
      </c>
      <c r="H60" t="str">
        <f>RADIO_RxDone!H60</f>
        <v>fhssNextFrequency</v>
      </c>
      <c r="I60" s="2" t="str">
        <f>RADIO_RxDone!I60</f>
        <v>NULL</v>
      </c>
      <c r="J60">
        <f>RADIO_RxDone!J60</f>
        <v>0</v>
      </c>
    </row>
    <row r="61" spans="3:10" x14ac:dyDescent="0.25">
      <c r="C61">
        <f>RADIO_RxDone!C61</f>
        <v>0</v>
      </c>
      <c r="D61" s="2">
        <f>RADIO_RxDone!D61</f>
        <v>0</v>
      </c>
      <c r="E61">
        <f>RADIO_RxDone!E61</f>
        <v>0</v>
      </c>
      <c r="F61">
        <f>RADIO_RxDone!F61</f>
        <v>0</v>
      </c>
      <c r="G61" t="str">
        <f>RADIO_RxDone!G61</f>
        <v>uint8_t</v>
      </c>
      <c r="H61" t="str">
        <f>RADIO_RxDone!H61</f>
        <v>regVersion</v>
      </c>
      <c r="I61" s="2" t="str">
        <f>RADIO_RxDone!I61</f>
        <v>REG_VERSION</v>
      </c>
      <c r="J61">
        <f>RADIO_RxDone!J61</f>
        <v>0</v>
      </c>
    </row>
    <row r="62" spans="3:10" x14ac:dyDescent="0.25">
      <c r="C62">
        <f>RADIO_RxDone!C62</f>
        <v>0</v>
      </c>
      <c r="D62" s="2">
        <f>RADIO_RxDone!D62</f>
        <v>0</v>
      </c>
      <c r="E62">
        <f>RADIO_RxDone!E62</f>
        <v>0</v>
      </c>
      <c r="F62">
        <f>RADIO_RxDone!F62</f>
        <v>0</v>
      </c>
      <c r="G62" t="str">
        <f>RADIO_RxDone!G62</f>
        <v>int8_t</v>
      </c>
      <c r="H62" t="str">
        <f>RADIO_RxDone!H62</f>
        <v>packetSNR</v>
      </c>
      <c r="I62" s="2" t="str">
        <f>RADIO_RxDone!I62</f>
        <v>packetSNR</v>
      </c>
      <c r="J62">
        <f>RADIO_RxDone!J62</f>
        <v>0</v>
      </c>
    </row>
    <row r="63" spans="3:10" x14ac:dyDescent="0.25">
      <c r="C63">
        <f>RADIO_RxDone!C63</f>
        <v>0</v>
      </c>
      <c r="D63" s="2">
        <f>RADIO_RxDone!D63</f>
        <v>0</v>
      </c>
      <c r="E63">
        <f>RADIO_RxDone!E63</f>
        <v>0</v>
      </c>
      <c r="F63">
        <f>RADIO_RxDone!F63</f>
        <v>0</v>
      </c>
      <c r="G63" t="str">
        <f>RADIO_RxDone!G63</f>
        <v>RadioFSKShaping_t</v>
      </c>
      <c r="H63" t="str">
        <f>RADIO_RxDone!H63</f>
        <v>fskDataShaping</v>
      </c>
      <c r="I63" s="2" t="str">
        <f>RADIO_RxDone!I63</f>
        <v>FSK_SHAPING_GAUSS_BT_0_5</v>
      </c>
      <c r="J63">
        <f>RADIO_RxDone!J63</f>
        <v>0</v>
      </c>
    </row>
    <row r="64" spans="3:10" x14ac:dyDescent="0.25">
      <c r="C64">
        <f>RADIO_RxDone!C64</f>
        <v>0</v>
      </c>
      <c r="D64" s="2">
        <f>RADIO_RxDone!D64</f>
        <v>0</v>
      </c>
      <c r="E64">
        <f>RADIO_RxDone!E64</f>
        <v>0</v>
      </c>
      <c r="F64">
        <f>RADIO_RxDone!F64</f>
        <v>0</v>
      </c>
      <c r="G64" t="str">
        <f>RADIO_RxDone!G64</f>
        <v>RadioFSKBandWidth_t</v>
      </c>
      <c r="H64" t="str">
        <f>RADIO_RxDone!H64</f>
        <v>rxBw</v>
      </c>
      <c r="I64" s="2" t="str">
        <f>RADIO_RxDone!I64</f>
        <v>FSKBW_50_0KHZ</v>
      </c>
      <c r="J64">
        <f>RADIO_RxDone!J64</f>
        <v>0</v>
      </c>
    </row>
    <row r="65" spans="3:10" x14ac:dyDescent="0.25">
      <c r="C65">
        <f>RADIO_RxDone!C65</f>
        <v>0</v>
      </c>
      <c r="D65" s="2">
        <f>RADIO_RxDone!D65</f>
        <v>0</v>
      </c>
      <c r="E65">
        <f>RADIO_RxDone!E65</f>
        <v>0</v>
      </c>
      <c r="F65">
        <f>RADIO_RxDone!F65</f>
        <v>0</v>
      </c>
      <c r="G65" t="str">
        <f>RADIO_RxDone!G65</f>
        <v>RadioFSKBandWidth_t</v>
      </c>
      <c r="H65" t="str">
        <f>RADIO_RxDone!H65</f>
        <v>afcBw</v>
      </c>
      <c r="I65" s="2" t="str">
        <f>RADIO_RxDone!I65</f>
        <v>FSKBW_83_3KHZ</v>
      </c>
      <c r="J65">
        <f>RADIO_RxDone!J65</f>
        <v>0</v>
      </c>
    </row>
    <row r="66" spans="3:10" x14ac:dyDescent="0.25">
      <c r="C66">
        <f>RADIO_RxDone!C66</f>
        <v>0</v>
      </c>
      <c r="D66" s="2">
        <f>RADIO_RxDone!D66</f>
        <v>0</v>
      </c>
      <c r="E66">
        <f>RADIO_RxDone!E66</f>
        <v>0</v>
      </c>
      <c r="F66">
        <f>RADIO_RxDone!F66</f>
        <v>0</v>
      </c>
      <c r="G66">
        <f>RADIO_RxDone!G66</f>
        <v>0</v>
      </c>
      <c r="H66">
        <f>RADIO_RxDone!H66</f>
        <v>0</v>
      </c>
      <c r="I66" s="2">
        <f>RADIO_RxDone!I66</f>
        <v>0</v>
      </c>
      <c r="J66">
        <f>RADIO_RxDone!J66</f>
        <v>0</v>
      </c>
    </row>
    <row r="67" spans="3:10" x14ac:dyDescent="0.25">
      <c r="C67">
        <f>RADIO_RxDone!C67</f>
        <v>0</v>
      </c>
      <c r="D67" s="2">
        <f>RADIO_RxDone!D67</f>
        <v>0</v>
      </c>
      <c r="E67">
        <f>RADIO_RxDone!E67</f>
        <v>0</v>
      </c>
      <c r="F67">
        <f>RADIO_RxDone!F67</f>
        <v>0</v>
      </c>
      <c r="G67">
        <f>RADIO_RxDone!G67</f>
        <v>0</v>
      </c>
      <c r="H67">
        <f>RADIO_RxDone!H67</f>
        <v>0</v>
      </c>
      <c r="I67" s="2">
        <f>RADIO_RxDone!I67</f>
        <v>0</v>
      </c>
      <c r="J67">
        <f>RADIO_RxDone!J67</f>
        <v>0</v>
      </c>
    </row>
    <row r="68" spans="3:10" x14ac:dyDescent="0.25">
      <c r="C68">
        <f>RADIO_RxDone!C68</f>
        <v>0</v>
      </c>
      <c r="D68" s="2">
        <f>RADIO_RxDone!D68</f>
        <v>0</v>
      </c>
      <c r="E68">
        <f>RADIO_RxDone!E68</f>
        <v>0</v>
      </c>
      <c r="F68">
        <f>RADIO_RxDone!F68</f>
        <v>0</v>
      </c>
      <c r="G68">
        <f>RADIO_RxDone!G68</f>
        <v>0</v>
      </c>
      <c r="H68">
        <f>RADIO_RxDone!H68</f>
        <v>0</v>
      </c>
      <c r="I68" s="2">
        <f>RADIO_RxDone!I68</f>
        <v>0</v>
      </c>
      <c r="J68">
        <f>RADIO_RxDone!J68</f>
        <v>0</v>
      </c>
    </row>
    <row r="69" spans="3:10" x14ac:dyDescent="0.25">
      <c r="C69">
        <f>RADIO_RxDone!C69</f>
        <v>0</v>
      </c>
      <c r="D69" s="2">
        <f>RADIO_RxDone!D69</f>
        <v>0</v>
      </c>
      <c r="E69">
        <f>RADIO_RxDone!E69</f>
        <v>0</v>
      </c>
      <c r="F69">
        <f>RADIO_RxDone!F69</f>
        <v>0</v>
      </c>
      <c r="G69" t="str">
        <f>RADIO_RxDone!G69</f>
        <v>ChannelParams_t</v>
      </c>
      <c r="H69" t="str">
        <f>RADIO_RxDone!H69</f>
        <v>Channels</v>
      </c>
      <c r="I69" s="2" t="str">
        <f>RADIO_RxDone!I69</f>
        <v>DefaultChannels868</v>
      </c>
      <c r="J69">
        <f>RADIO_RxDone!J69</f>
        <v>0</v>
      </c>
    </row>
    <row r="70" spans="3:10" x14ac:dyDescent="0.25">
      <c r="C70">
        <f>RADIO_RxDone!C70</f>
        <v>0</v>
      </c>
      <c r="D70" s="2">
        <f>RADIO_RxDone!D70</f>
        <v>0</v>
      </c>
      <c r="E70">
        <f>RADIO_RxDone!E70</f>
        <v>0</v>
      </c>
      <c r="F70">
        <f>RADIO_RxDone!F70</f>
        <v>0</v>
      </c>
      <c r="G70" t="str">
        <f>RADIO_RxDone!G70</f>
        <v>uint8_t</v>
      </c>
      <c r="H70" t="str">
        <f>RADIO_RxDone!H70</f>
        <v>maxPayloadSize[]</v>
      </c>
      <c r="I70" s="2" t="str">
        <f>RADIO_RxDone!I70</f>
        <v>MAX_EU_SINGLE_BAND_CHANNELS</v>
      </c>
      <c r="J70">
        <f>RADIO_RxDone!J70</f>
        <v>0</v>
      </c>
    </row>
    <row r="71" spans="3:10" x14ac:dyDescent="0.25">
      <c r="C71">
        <f>RADIO_RxDone!C71</f>
        <v>0</v>
      </c>
      <c r="D71" s="2">
        <f>RADIO_RxDone!D71</f>
        <v>0</v>
      </c>
      <c r="E71">
        <f>RADIO_RxDone!E71</f>
        <v>0</v>
      </c>
      <c r="F71">
        <f>RADIO_RxDone!F71</f>
        <v>0</v>
      </c>
      <c r="G71" t="str">
        <f>RADIO_RxDone!G71</f>
        <v>uint8_t</v>
      </c>
      <c r="H71" t="str">
        <f>RADIO_RxDone!H71</f>
        <v>modulation[]</v>
      </c>
      <c r="I71" s="2">
        <f>RADIO_RxDone!I71</f>
        <v>0</v>
      </c>
      <c r="J71">
        <f>RADIO_RxDone!J71</f>
        <v>0</v>
      </c>
    </row>
    <row r="72" spans="3:10" x14ac:dyDescent="0.25">
      <c r="C72">
        <f>RADIO_RxDone!C72</f>
        <v>0</v>
      </c>
      <c r="D72" s="2">
        <f>RADIO_RxDone!D72</f>
        <v>0</v>
      </c>
      <c r="E72">
        <f>RADIO_RxDone!E72</f>
        <v>0</v>
      </c>
      <c r="F72">
        <f>RADIO_RxDone!F72</f>
        <v>0</v>
      </c>
      <c r="G72" t="str">
        <f>RADIO_RxDone!G72</f>
        <v>uint8_t</v>
      </c>
      <c r="H72" t="str">
        <f>RADIO_RxDone!H72</f>
        <v>spreadingFactor[]</v>
      </c>
      <c r="I72" s="2">
        <f>RADIO_RxDone!I72</f>
        <v>0</v>
      </c>
      <c r="J72">
        <f>RADIO_RxDone!J72</f>
        <v>0</v>
      </c>
    </row>
    <row r="73" spans="3:10" x14ac:dyDescent="0.25">
      <c r="C73">
        <f>RADIO_RxDone!C73</f>
        <v>0</v>
      </c>
      <c r="D73" s="2">
        <f>RADIO_RxDone!D73</f>
        <v>0</v>
      </c>
      <c r="E73">
        <f>RADIO_RxDone!E73</f>
        <v>0</v>
      </c>
      <c r="F73">
        <f>RADIO_RxDone!F73</f>
        <v>0</v>
      </c>
      <c r="G73" t="str">
        <f>RADIO_RxDone!G73</f>
        <v>uint8_t</v>
      </c>
      <c r="H73" t="str">
        <f>RADIO_RxDone!H73</f>
        <v>bandwidth[]</v>
      </c>
      <c r="I73" s="2">
        <f>RADIO_RxDone!I73</f>
        <v>0</v>
      </c>
      <c r="J73">
        <f>RADIO_RxDone!J73</f>
        <v>0</v>
      </c>
    </row>
    <row r="74" spans="3:10" x14ac:dyDescent="0.25">
      <c r="C74">
        <f>RADIO_RxDone!C74</f>
        <v>0</v>
      </c>
      <c r="D74" s="2">
        <f>RADIO_RxDone!D74</f>
        <v>0</v>
      </c>
      <c r="E74">
        <f>RADIO_RxDone!E74</f>
        <v>0</v>
      </c>
      <c r="F74">
        <f>RADIO_RxDone!F74</f>
        <v>0</v>
      </c>
      <c r="G74" t="str">
        <f>RADIO_RxDone!G74</f>
        <v>uint8_t</v>
      </c>
      <c r="H74" t="str">
        <f>RADIO_RxDone!H74</f>
        <v>txPower868[]</v>
      </c>
      <c r="I74" s="2">
        <f>RADIO_RxDone!I74</f>
        <v>0</v>
      </c>
      <c r="J74">
        <f>RADIO_RxDone!J74</f>
        <v>0</v>
      </c>
    </row>
    <row r="75" spans="3:10" x14ac:dyDescent="0.25">
      <c r="C75">
        <f>RADIO_RxDone!C75</f>
        <v>0</v>
      </c>
      <c r="D75" s="2">
        <f>RADIO_RxDone!D75</f>
        <v>0</v>
      </c>
      <c r="E75">
        <f>RADIO_RxDone!E75</f>
        <v>0</v>
      </c>
      <c r="F75">
        <f>RADIO_RxDone!F75</f>
        <v>0</v>
      </c>
      <c r="G75" t="str">
        <f>RADIO_RxDone!G75</f>
        <v>uint8_t</v>
      </c>
      <c r="H75" t="str">
        <f>RADIO_RxDone!H75</f>
        <v>LoRa_radioBuffer[]</v>
      </c>
      <c r="I75" s="2" t="str">
        <f>RADIO_RxDone!I75</f>
        <v>MAXIMUM_BUFFER_LENGTH</v>
      </c>
      <c r="J75">
        <f>RADIO_RxDone!J75</f>
        <v>0</v>
      </c>
    </row>
    <row r="76" spans="3:10" x14ac:dyDescent="0.25">
      <c r="C76">
        <f>RADIO_RxDone!C76</f>
        <v>0</v>
      </c>
      <c r="D76" s="2">
        <f>RADIO_RxDone!D76</f>
        <v>0</v>
      </c>
      <c r="E76">
        <f>RADIO_RxDone!E76</f>
        <v>0</v>
      </c>
      <c r="F76">
        <f>RADIO_RxDone!F76</f>
        <v>0</v>
      </c>
      <c r="G76">
        <f>RADIO_RxDone!G76</f>
        <v>0</v>
      </c>
      <c r="H76">
        <f>RADIO_RxDone!H76</f>
        <v>0</v>
      </c>
      <c r="I76" s="2">
        <f>RADIO_RxDone!I76</f>
        <v>0</v>
      </c>
      <c r="J76">
        <f>RADIO_RxDone!J76</f>
        <v>0</v>
      </c>
    </row>
    <row r="77" spans="3:10" x14ac:dyDescent="0.25">
      <c r="C77">
        <f>RADIO_RxDone!C77</f>
        <v>0</v>
      </c>
      <c r="D77" s="2">
        <f>RADIO_RxDone!D77</f>
        <v>0</v>
      </c>
      <c r="E77">
        <f>RADIO_RxDone!E77</f>
        <v>0</v>
      </c>
      <c r="F77">
        <f>RADIO_RxDone!F77</f>
        <v>0</v>
      </c>
      <c r="G77">
        <f>RADIO_RxDone!G77</f>
        <v>0</v>
      </c>
      <c r="H77">
        <f>RADIO_RxDone!H77</f>
        <v>0</v>
      </c>
      <c r="I77" s="2">
        <f>RADIO_RxDone!I77</f>
        <v>0</v>
      </c>
      <c r="J77">
        <f>RADIO_RxDone!J77</f>
        <v>0</v>
      </c>
    </row>
    <row r="78" spans="3:10" x14ac:dyDescent="0.25"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3:10" x14ac:dyDescent="0.25">
      <c r="E79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Arkusz11.fill_in_LoRa_RxDone_Fail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RADIO_RxDone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CE30C-7C07-4037-B756-81F326DBACCC}">
  <sheetPr codeName="Arkusz12"/>
  <dimension ref="B1:J77"/>
  <sheetViews>
    <sheetView showZeros="0" workbookViewId="0">
      <selection activeCell="C20" sqref="C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160</v>
      </c>
      <c r="D1" s="2" t="s">
        <v>14</v>
      </c>
      <c r="I1" s="2" t="s">
        <v>3</v>
      </c>
    </row>
    <row r="3" spans="2:10" x14ac:dyDescent="0.25">
      <c r="C3" t="str">
        <f>LoRa_RxDone_OK!C3</f>
        <v>LoRa_transmitStatus</v>
      </c>
      <c r="D3" s="2" t="str">
        <f>I3</f>
        <v>LoRa_SendData_RX</v>
      </c>
      <c r="E3">
        <f>LoRa_RxDone_OK!E3</f>
        <v>0</v>
      </c>
      <c r="F3">
        <f>LoRa_RxDone_OK!F3</f>
        <v>0</v>
      </c>
      <c r="G3" t="str">
        <f>LoRa_RxDone_OK!G3</f>
        <v>LoRaMacState_t</v>
      </c>
      <c r="H3" t="str">
        <f>LoRa_RxDone_OK!H3</f>
        <v>LoRa_transmitStatus</v>
      </c>
      <c r="I3" s="46" t="s">
        <v>34</v>
      </c>
      <c r="J3">
        <f>LoRa_RxDone_OK!J3</f>
        <v>0</v>
      </c>
    </row>
    <row r="4" spans="2:10" x14ac:dyDescent="0.25">
      <c r="C4" t="str">
        <f>LoRa_RxDone_OK!C4</f>
        <v>LoRa_StatusDanych</v>
      </c>
      <c r="D4" s="2" t="str">
        <f>I4</f>
        <v>LoRa_transmiting</v>
      </c>
      <c r="E4">
        <f>LoRa_RxDone_OK!E4</f>
        <v>0</v>
      </c>
      <c r="F4">
        <f>LoRa_RxDone_OK!F4</f>
        <v>0</v>
      </c>
      <c r="G4" t="str">
        <f>LoRa_RxDone_OK!G4</f>
        <v>LoRaStatus_t</v>
      </c>
      <c r="H4" t="str">
        <f>LoRa_RxDone_OK!H4</f>
        <v>LoRa_StatusDanych</v>
      </c>
      <c r="I4" s="2" t="str">
        <f>LoRa_RxDone_OK!I4</f>
        <v>LoRa_transmiting</v>
      </c>
      <c r="J4">
        <f>LoRa_RxDone_OK!J4</f>
        <v>0</v>
      </c>
    </row>
    <row r="5" spans="2:10" x14ac:dyDescent="0.25">
      <c r="C5" t="str">
        <f>LoRa_RxDone_OK!C5</f>
        <v>flags</v>
      </c>
      <c r="D5" s="2" t="str">
        <f>I47</f>
        <v>RADIO_FLAG_RECEIVING</v>
      </c>
      <c r="E5">
        <f>LoRa_RxDone_OK!E5</f>
        <v>0</v>
      </c>
      <c r="F5">
        <f>LoRa_RxDone_OK!F5</f>
        <v>0</v>
      </c>
      <c r="G5" t="str">
        <f>LoRa_RxDone_OK!G5</f>
        <v>bool</v>
      </c>
      <c r="H5" t="str">
        <f>LoRa_RxDone_OK!H5</f>
        <v>LoRa_initialised</v>
      </c>
      <c r="I5" s="2" t="str">
        <f>LoRa_RxDone_OK!I5</f>
        <v>ENABLED</v>
      </c>
      <c r="J5">
        <f>LoRa_RxDone_OK!J5</f>
        <v>0</v>
      </c>
    </row>
    <row r="6" spans="2:10" x14ac:dyDescent="0.25">
      <c r="C6">
        <f>LoRa_RxDone_OK!C6</f>
        <v>0</v>
      </c>
      <c r="D6" s="2">
        <f>LoRa_RxDone_OK!D6</f>
        <v>0</v>
      </c>
      <c r="E6">
        <f>LoRa_RxDone_OK!E6</f>
        <v>0</v>
      </c>
      <c r="F6">
        <f>LoRa_RxDone_OK!F6</f>
        <v>0</v>
      </c>
      <c r="G6" t="str">
        <f>LoRa_RxDone_OK!G6</f>
        <v>FCnt_t</v>
      </c>
      <c r="H6" t="str">
        <f>LoRa_RxDone_OK!H6</f>
        <v>LoRa_Counter</v>
      </c>
      <c r="I6" s="2" t="str">
        <f>LoRa_RxDone_OK!I6</f>
        <v>++</v>
      </c>
      <c r="J6">
        <f>LoRa_RxDone_OK!J6</f>
        <v>0</v>
      </c>
    </row>
    <row r="7" spans="2:10" x14ac:dyDescent="0.25">
      <c r="C7" s="16"/>
      <c r="D7" s="25"/>
      <c r="E7" s="17"/>
      <c r="F7" s="18"/>
      <c r="G7" t="str">
        <f>LoRa_RxDone_OK!G7</f>
        <v>uint8_t</v>
      </c>
      <c r="H7" t="str">
        <f>LoRa_RxDone_OK!H7</f>
        <v>LoRa_Addres</v>
      </c>
      <c r="I7" s="2" t="str">
        <f>LoRa_RxDone_OK!I7</f>
        <v>LoRaDeviceAddress</v>
      </c>
      <c r="J7">
        <f>LoRa_RxDone_OK!J7</f>
        <v>0</v>
      </c>
    </row>
    <row r="8" spans="2:10" x14ac:dyDescent="0.25">
      <c r="C8" s="19"/>
      <c r="D8" s="26"/>
      <c r="E8" s="20"/>
      <c r="F8" s="21"/>
      <c r="G8" t="str">
        <f>LoRa_RxDone_OK!G8</f>
        <v>uint8_t</v>
      </c>
      <c r="H8" t="str">
        <f>LoRa_RxDone_OK!H8</f>
        <v>LoRa_TimerHandshaking</v>
      </c>
      <c r="I8" s="2" t="str">
        <f>LoRa_RxDone_OK!I8</f>
        <v>0</v>
      </c>
      <c r="J8" t="str">
        <f>LoRa_RxDone_OK!J8</f>
        <v>LoRa_TimerHandshakingCallback</v>
      </c>
    </row>
    <row r="9" spans="2:10" x14ac:dyDescent="0.25">
      <c r="B9" s="3"/>
      <c r="C9" s="19"/>
      <c r="D9" s="26"/>
      <c r="E9" s="20"/>
      <c r="F9" s="21"/>
      <c r="G9" t="str">
        <f>LoRa_RxDone_OK!G9</f>
        <v>uint8_t</v>
      </c>
      <c r="H9" t="str">
        <f>LoRa_RxDone_OK!H9</f>
        <v>LoRa_TimerRetransmit</v>
      </c>
      <c r="I9" s="2" t="str">
        <f>LoRa_RxDone_OK!I9</f>
        <v>0</v>
      </c>
      <c r="J9" t="str">
        <f>LoRa_RxDone_OK!J9</f>
        <v>LoRa_TimerRetransmitCallback</v>
      </c>
    </row>
    <row r="10" spans="2:10" x14ac:dyDescent="0.25">
      <c r="C10" s="41" t="s">
        <v>13</v>
      </c>
      <c r="D10" s="37" t="s">
        <v>14</v>
      </c>
      <c r="E10" s="20"/>
      <c r="F10" s="51" t="s">
        <v>203</v>
      </c>
      <c r="G10" t="str">
        <f>LoRa_RxDone_OK!G10</f>
        <v>uint8_t</v>
      </c>
      <c r="H10" t="str">
        <f>LoRa_RxDone_OK!H10</f>
        <v>LoRa_TimerWaitAck</v>
      </c>
      <c r="I10" s="2" t="str">
        <f>LoRa_RxDone_OK!I10</f>
        <v>LoRa_Transmit_timeout</v>
      </c>
      <c r="J10" t="str">
        <f>LoRa_RxDone_OK!J10</f>
        <v>LoRa_TimerWaitAckCallback</v>
      </c>
    </row>
    <row r="11" spans="2:10" x14ac:dyDescent="0.25">
      <c r="C11" s="33" t="s">
        <v>103</v>
      </c>
      <c r="D11" s="26"/>
      <c r="E11" s="20"/>
      <c r="F11" s="50" t="s">
        <v>203</v>
      </c>
      <c r="G11" t="str">
        <f>LoRa_RxDone_OK!G11</f>
        <v>uint8_t</v>
      </c>
      <c r="H11" t="str">
        <f>LoRa_RxDone_OK!H11</f>
        <v>LoRa_HeaderBufor</v>
      </c>
      <c r="I11" s="2" t="str">
        <f>LoRa_RxDone_OK!I11</f>
        <v>LoRa_Addres, nxt_channel</v>
      </c>
      <c r="J11">
        <f>LoRa_RxDone_OK!J11</f>
        <v>0</v>
      </c>
    </row>
    <row r="12" spans="2:10" x14ac:dyDescent="0.25">
      <c r="C12" s="43" t="s">
        <v>195</v>
      </c>
      <c r="D12" s="44" t="s">
        <v>87</v>
      </c>
      <c r="E12" s="47" t="s">
        <v>86</v>
      </c>
      <c r="F12" s="49" t="s">
        <v>203</v>
      </c>
      <c r="G12" t="str">
        <f>LoRa_RxDone_OK!G12</f>
        <v>uint8_t</v>
      </c>
      <c r="H12" t="str">
        <f>LoRa_RxDone_OK!H12</f>
        <v>LoRa_HeaderLength</v>
      </c>
      <c r="I12" s="2" t="str">
        <f>LoRa_RxDone_OK!I12</f>
        <v>bufferHeadIndex</v>
      </c>
      <c r="J12">
        <f>LoRa_RxDone_OK!J12</f>
        <v>0</v>
      </c>
    </row>
    <row r="13" spans="2:10" x14ac:dyDescent="0.25">
      <c r="C13" s="52" t="s">
        <v>194</v>
      </c>
      <c r="D13" s="53" t="s">
        <v>87</v>
      </c>
      <c r="E13" s="54" t="s">
        <v>86</v>
      </c>
      <c r="F13" s="55" t="s">
        <v>203</v>
      </c>
      <c r="G13" t="str">
        <f>LoRa_RxDone_OK!G13</f>
        <v>uint8_t</v>
      </c>
      <c r="H13" t="str">
        <f>LoRa_RxDone_OK!H13</f>
        <v>LoRa_Bufor</v>
      </c>
      <c r="I13" s="2" t="str">
        <f>LoRa_RxDone_OK!I13</f>
        <v>bufferIndex, nxt_channel, data, CRC</v>
      </c>
      <c r="J13">
        <f>LoRa_RxDone_OK!J13</f>
        <v>0</v>
      </c>
    </row>
    <row r="14" spans="2:10" x14ac:dyDescent="0.25">
      <c r="C14" s="63" t="s">
        <v>153</v>
      </c>
      <c r="D14" s="64">
        <v>4</v>
      </c>
      <c r="E14" s="20"/>
      <c r="F14" s="65" t="s">
        <v>203</v>
      </c>
      <c r="G14" t="str">
        <f>LoRa_RxDone_OK!G14</f>
        <v>uint8_t</v>
      </c>
      <c r="H14" t="str">
        <f>LoRa_RxDone_OK!H14</f>
        <v>LoRa_BuforLength</v>
      </c>
      <c r="I14" s="2" t="str">
        <f>LoRa_RxDone_OK!I14</f>
        <v>bufferIndex</v>
      </c>
      <c r="J14">
        <f>LoRa_RxDone_OK!J14</f>
        <v>0</v>
      </c>
    </row>
    <row r="15" spans="2:10" x14ac:dyDescent="0.25">
      <c r="C15" s="57" t="s">
        <v>148</v>
      </c>
      <c r="D15" s="58">
        <v>4</v>
      </c>
      <c r="E15" s="20"/>
      <c r="F15" s="59" t="s">
        <v>203</v>
      </c>
      <c r="G15" t="str">
        <f>LoRa_RxDone_OK!G15</f>
        <v>uint8_t</v>
      </c>
      <c r="H15" t="str">
        <f>LoRa_RxDone_OK!H15</f>
        <v>LoRa_Command</v>
      </c>
      <c r="I15" s="2" t="str">
        <f>LoRa_RxDone_OK!I15</f>
        <v>buffer[1]</v>
      </c>
      <c r="J15">
        <f>LoRa_RxDone_OK!J15</f>
        <v>0</v>
      </c>
    </row>
    <row r="16" spans="2:10" x14ac:dyDescent="0.25">
      <c r="C16" s="19"/>
      <c r="D16" s="26"/>
      <c r="E16" s="20"/>
      <c r="F16" s="21"/>
      <c r="G16" t="str">
        <f>LoRa_RxDone_OK!G16</f>
        <v>uint8_t</v>
      </c>
      <c r="H16" t="str">
        <f>LoRa_RxDone_OK!H16</f>
        <v>LoRa_maxChannels</v>
      </c>
      <c r="I16" s="2" t="str">
        <f>LoRa_RxDone_OK!I16</f>
        <v>MAX_EU_SINGLE_BAND_CHANNELS</v>
      </c>
      <c r="J16">
        <f>LoRa_RxDone_OK!J16</f>
        <v>0</v>
      </c>
    </row>
    <row r="17" spans="3:10" x14ac:dyDescent="0.25">
      <c r="C17" s="19"/>
      <c r="D17" s="26"/>
      <c r="E17" s="20"/>
      <c r="F17" s="21"/>
      <c r="G17" t="str">
        <f>LoRa_RxDone_OK!G17</f>
        <v>uint8_t</v>
      </c>
      <c r="H17" t="str">
        <f>LoRa_RxDone_OK!H17</f>
        <v>LoRa_lastUsedChannelIndex</v>
      </c>
      <c r="I17" s="2" t="str">
        <f>LoRa_RxDone_OK!I17</f>
        <v>channelRx</v>
      </c>
      <c r="J17">
        <f>LoRa_RxDone_OK!J17</f>
        <v>0</v>
      </c>
    </row>
    <row r="18" spans="3:10" x14ac:dyDescent="0.25">
      <c r="C18" s="19"/>
      <c r="D18" s="26"/>
      <c r="E18" s="20"/>
      <c r="F18" s="21"/>
      <c r="G18" t="str">
        <f>LoRa_RxDone_OK!G18</f>
        <v>ReceiveWindowParameters_t</v>
      </c>
      <c r="H18" t="str">
        <f>LoRa_RxDone_OK!H18</f>
        <v>LoRa_ch0_params.frequency</v>
      </c>
      <c r="I18" s="2" t="str">
        <f>LoRa_RxDone_OK!I18</f>
        <v>LoRa_CH0_frequency</v>
      </c>
      <c r="J18">
        <f>LoRa_RxDone_OK!J18</f>
        <v>0</v>
      </c>
    </row>
    <row r="19" spans="3:10" x14ac:dyDescent="0.25">
      <c r="C19" s="19"/>
      <c r="D19" s="26"/>
      <c r="E19" s="20"/>
      <c r="F19" s="21"/>
      <c r="G19">
        <f>LoRa_RxDone_OK!G19</f>
        <v>0</v>
      </c>
      <c r="H19" t="str">
        <f>LoRa_RxDone_OK!H19</f>
        <v>LoRa_ch0_params.datarate</v>
      </c>
      <c r="I19" s="2" t="str">
        <f>LoRa_RxDone_OK!I19</f>
        <v>LoRa_CH0_datarate</v>
      </c>
      <c r="J19">
        <f>LoRa_RxDone_OK!J19</f>
        <v>0</v>
      </c>
    </row>
    <row r="20" spans="3:10" x14ac:dyDescent="0.25">
      <c r="C20" s="29" t="s">
        <v>226</v>
      </c>
      <c r="D20" s="26"/>
      <c r="E20" s="20"/>
      <c r="F20" s="21"/>
      <c r="G20" t="str">
        <f>LoRa_RxDone_OK!G20</f>
        <v>ReceiveWindowParameters_t</v>
      </c>
      <c r="H20" t="str">
        <f>LoRa_RxDone_OK!H20</f>
        <v>LoRa_receiveChannelParameters.frequency</v>
      </c>
      <c r="I20" s="2" t="str">
        <f>LoRa_RxDone_OK!I20</f>
        <v>LoRa_Channels[channelRxIndex].frequency</v>
      </c>
      <c r="J20">
        <f>LoRa_RxDone_OK!J20</f>
        <v>0</v>
      </c>
    </row>
    <row r="21" spans="3:10" x14ac:dyDescent="0.25">
      <c r="C21" s="29" t="s">
        <v>213</v>
      </c>
      <c r="D21" s="26"/>
      <c r="E21" s="20"/>
      <c r="F21" s="21"/>
      <c r="G21">
        <f>LoRa_RxDone_OK!G21</f>
        <v>0</v>
      </c>
      <c r="H21" t="str">
        <f>LoRa_RxDone_OK!H21</f>
        <v>LoRa_receiveChannelParameters.dataRate</v>
      </c>
      <c r="I21" s="2" t="str">
        <f>LoRa_RxDone_OK!I21</f>
        <v>LoRa_currentDataRate</v>
      </c>
      <c r="J21">
        <f>LoRa_RxDone_OK!J21</f>
        <v>0</v>
      </c>
    </row>
    <row r="22" spans="3:10" x14ac:dyDescent="0.25">
      <c r="C22" s="29" t="s">
        <v>214</v>
      </c>
      <c r="D22" s="26"/>
      <c r="E22" s="20"/>
      <c r="F22" s="21"/>
      <c r="G22" t="str">
        <f>LoRa_RxDone_OK!G22</f>
        <v>ReceiveWindowParameters_t</v>
      </c>
      <c r="H22" t="str">
        <f>LoRa_RxDone_OK!H22</f>
        <v>LoRa_sendChannelParameters.frequency</v>
      </c>
      <c r="I22" s="2" t="str">
        <f>LoRa_RxDone_OK!I22</f>
        <v>LoRa_Channels[channelRxIndex].frequency</v>
      </c>
      <c r="J22">
        <f>LoRa_RxDone_OK!J22</f>
        <v>0</v>
      </c>
    </row>
    <row r="23" spans="3:10" x14ac:dyDescent="0.25">
      <c r="C23" s="29" t="s">
        <v>186</v>
      </c>
      <c r="D23" s="26"/>
      <c r="E23" s="20"/>
      <c r="F23" s="21"/>
      <c r="G23">
        <f>LoRa_RxDone_OK!G23</f>
        <v>0</v>
      </c>
      <c r="H23" t="str">
        <f>LoRa_RxDone_OK!H23</f>
        <v>LoRa_sendChannelParameters.dataRate</v>
      </c>
      <c r="I23" s="2" t="str">
        <f>LoRa_RxDone_OK!I23</f>
        <v>LoRa_currentDataRate</v>
      </c>
      <c r="J23">
        <f>LoRa_RxDone_OK!J23</f>
        <v>0</v>
      </c>
    </row>
    <row r="24" spans="3:10" x14ac:dyDescent="0.25">
      <c r="C24" s="22"/>
      <c r="D24" s="27"/>
      <c r="E24" s="23"/>
      <c r="F24" s="24"/>
      <c r="G24" t="str">
        <f>LoRa_RxDone_OK!G24</f>
        <v>uint8_t</v>
      </c>
      <c r="H24" t="str">
        <f>LoRa_RxDone_OK!H24</f>
        <v>LoRa_txPower</v>
      </c>
      <c r="I24" s="2">
        <f>LoRa_RxDone_OK!I24</f>
        <v>1</v>
      </c>
      <c r="J24">
        <f>LoRa_RxDone_OK!J24</f>
        <v>0</v>
      </c>
    </row>
    <row r="25" spans="3:10" x14ac:dyDescent="0.25">
      <c r="C25" t="str">
        <f>LoRa_RxDone_OK!C25</f>
        <v>DATA</v>
      </c>
      <c r="D25" s="2" t="str">
        <f>LoRa_RxDone_OK!D25</f>
        <v>LoRa_Addres, nxt_channel</v>
      </c>
      <c r="E25">
        <f>LoRa_RxDone_OK!E25</f>
        <v>0</v>
      </c>
      <c r="F25">
        <f>LoRa_RxDone_OK!F25</f>
        <v>0</v>
      </c>
      <c r="G25" t="str">
        <f>LoRa_RxDone_OK!G25</f>
        <v>uint8_t</v>
      </c>
      <c r="H25" t="str">
        <f>LoRa_RxDone_OK!H25</f>
        <v>LoRa_syncWord</v>
      </c>
      <c r="I25" s="2" t="str">
        <f>LoRa_RxDone_OK!I25</f>
        <v>0x34</v>
      </c>
      <c r="J25">
        <f>LoRa_RxDone_OK!J25</f>
        <v>0</v>
      </c>
    </row>
    <row r="26" spans="3:10" x14ac:dyDescent="0.25">
      <c r="C26" t="str">
        <f>LoRa_RxDone_OK!C26</f>
        <v>mode</v>
      </c>
      <c r="D26" s="61" t="s">
        <v>155</v>
      </c>
      <c r="E26">
        <f>LoRa_RxDone_OK!E26</f>
        <v>0</v>
      </c>
      <c r="F26">
        <f>LoRa_RxDone_OK!F26</f>
        <v>0</v>
      </c>
      <c r="G26" t="str">
        <f>LoRa_RxDone_OK!G26</f>
        <v>uint8_t</v>
      </c>
      <c r="H26" t="str">
        <f>LoRa_RxDone_OK!H26</f>
        <v>LoRa_batteryLevel</v>
      </c>
      <c r="I26" s="2" t="str">
        <f>LoRa_RxDone_OK!I26</f>
        <v>BATTERY_LEVEL_INVALID</v>
      </c>
      <c r="J26">
        <f>LoRa_RxDone_OK!J26</f>
        <v>0</v>
      </c>
    </row>
    <row r="27" spans="3:10" x14ac:dyDescent="0.25">
      <c r="C27" t="str">
        <f>LoRa_RxDone_OK!C27</f>
        <v>modulation</v>
      </c>
      <c r="D27" s="61" t="s">
        <v>56</v>
      </c>
      <c r="E27">
        <f>LoRa_RxDone_OK!E27</f>
        <v>0</v>
      </c>
      <c r="F27">
        <f>LoRa_RxDone_OK!F27</f>
        <v>0</v>
      </c>
      <c r="G27" t="str">
        <f>LoRa_RxDone_OK!G27</f>
        <v>IsmBand_t</v>
      </c>
      <c r="H27" t="str">
        <f>LoRa_RxDone_OK!H27</f>
        <v>LoRa_ismBand</v>
      </c>
      <c r="I27" s="2" t="str">
        <f>LoRa_RxDone_OK!I27</f>
        <v>ISM_EU868</v>
      </c>
      <c r="J27">
        <f>LoRa_RxDone_OK!J27</f>
        <v>0</v>
      </c>
    </row>
    <row r="28" spans="3:10" x14ac:dyDescent="0.25">
      <c r="C28" t="str">
        <f>LoRa_RxDone_OK!C28</f>
        <v>frequency</v>
      </c>
      <c r="D28" s="60" t="str">
        <f>I34</f>
        <v>LoRa_receiveChannelParameters.frequency</v>
      </c>
      <c r="E28">
        <f>LoRa_RxDone_OK!E28</f>
        <v>0</v>
      </c>
      <c r="F28">
        <f>LoRa_RxDone_OK!F28</f>
        <v>0</v>
      </c>
      <c r="G28" t="str">
        <f>LoRa_RxDone_OK!G28</f>
        <v>uint8_t</v>
      </c>
      <c r="H28" t="str">
        <f>LoRa_RxDone_OK!H28</f>
        <v>LoRa_currentDataRate</v>
      </c>
      <c r="I28" s="2" t="str">
        <f>LoRa_RxDone_OK!I28</f>
        <v>DR0</v>
      </c>
      <c r="J28">
        <f>LoRa_RxDone_OK!J28</f>
        <v>0</v>
      </c>
    </row>
    <row r="29" spans="3:10" x14ac:dyDescent="0.25">
      <c r="C29" t="str">
        <f>LoRa_RxDone_OK!C29</f>
        <v>payload</v>
      </c>
      <c r="D29" s="61">
        <v>1</v>
      </c>
      <c r="E29">
        <f>LoRa_RxDone_OK!E29</f>
        <v>0</v>
      </c>
      <c r="F29">
        <f>LoRa_RxDone_OK!F29</f>
        <v>0</v>
      </c>
      <c r="G29" t="str">
        <f>LoRa_RxDone_OK!G29</f>
        <v>uint8_t</v>
      </c>
      <c r="H29" t="str">
        <f>LoRa_RxDone_OK!H29</f>
        <v>LoRa_minDataRate</v>
      </c>
      <c r="I29" s="2" t="str">
        <f>LoRa_RxDone_OK!I29</f>
        <v>DR0</v>
      </c>
      <c r="J29">
        <f>LoRa_RxDone_OK!J29</f>
        <v>0</v>
      </c>
    </row>
    <row r="30" spans="3:10" x14ac:dyDescent="0.25">
      <c r="C30" t="str">
        <f>LoRa_RxDone_OK!C30</f>
        <v>power</v>
      </c>
      <c r="D30" s="60" t="str">
        <f>I44</f>
        <v>txPower868[LoRa_txPower]</v>
      </c>
      <c r="E30">
        <f>LoRa_RxDone_OK!E30</f>
        <v>0</v>
      </c>
      <c r="F30">
        <f>LoRa_RxDone_OK!F30</f>
        <v>0</v>
      </c>
      <c r="G30" t="str">
        <f>LoRa_RxDone_OK!G30</f>
        <v>uint8_t</v>
      </c>
      <c r="H30" t="str">
        <f>LoRa_RxDone_OK!H30</f>
        <v>LoRa_maxDataRate</v>
      </c>
      <c r="I30" s="2" t="str">
        <f>LoRa_RxDone_OK!I30</f>
        <v>DR7</v>
      </c>
      <c r="J30">
        <f>LoRa_RxDone_OK!J30</f>
        <v>0</v>
      </c>
    </row>
    <row r="31" spans="3:10" x14ac:dyDescent="0.25">
      <c r="C31" t="str">
        <f>LoRa_RxDone_OK!C31</f>
        <v>SpreadingFactor</v>
      </c>
      <c r="D31" s="60" t="str">
        <f>I42</f>
        <v>spreadingFactor[LoRa_receiveChannelParameters.dataRate]</v>
      </c>
      <c r="E31">
        <f>LoRa_RxDone_OK!E31</f>
        <v>0</v>
      </c>
      <c r="F31">
        <f>LoRa_RxDone_OK!F31</f>
        <v>0</v>
      </c>
      <c r="G31" t="str">
        <f>LoRa_RxDone_OK!G31</f>
        <v>uint8_t</v>
      </c>
      <c r="H31" t="str">
        <f>LoRa_RxDone_OK!H31</f>
        <v>LoRa_nextUsedChannel</v>
      </c>
      <c r="I31" s="2">
        <f>LoRa_RxDone_OK!I31</f>
        <v>0</v>
      </c>
      <c r="J31">
        <f>LoRa_RxDone_OK!J31</f>
        <v>0</v>
      </c>
    </row>
    <row r="32" spans="3:10" x14ac:dyDescent="0.25">
      <c r="C32" t="str">
        <f>LoRa_RxDone_OK!C32</f>
        <v>Bandwidth</v>
      </c>
      <c r="D32" s="60" t="str">
        <f>I43</f>
        <v>bandwidth[LoRa_receiveChannelParameters.dataRate]</v>
      </c>
      <c r="E32">
        <f>LoRa_RxDone_OK!E32</f>
        <v>0</v>
      </c>
      <c r="F32">
        <f>LoRa_RxDone_OK!F32</f>
        <v>0</v>
      </c>
      <c r="G32">
        <f>LoRa_RxDone_OK!G32</f>
        <v>0</v>
      </c>
      <c r="H32">
        <f>LoRa_RxDone_OK!H32</f>
        <v>0</v>
      </c>
      <c r="I32" s="2">
        <f>LoRa_RxDone_OK!I32</f>
        <v>0</v>
      </c>
      <c r="J32">
        <f>LoRa_RxDone_OK!J32</f>
        <v>0</v>
      </c>
    </row>
    <row r="33" spans="3:10" x14ac:dyDescent="0.25">
      <c r="C33" t="str">
        <f>LoRa_RxDone_OK!C33</f>
        <v>SyncWord</v>
      </c>
      <c r="D33" s="60" t="str">
        <f>I38</f>
        <v>LoRa_syncWord</v>
      </c>
      <c r="E33">
        <f>LoRa_RxDone_OK!E33</f>
        <v>0</v>
      </c>
      <c r="F33">
        <f>LoRa_RxDone_OK!F33</f>
        <v>0</v>
      </c>
      <c r="G33">
        <f>LoRa_RxDone_OK!G33</f>
        <v>0</v>
      </c>
      <c r="H33">
        <f>LoRa_RxDone_OK!H33</f>
        <v>0</v>
      </c>
      <c r="I33" s="2">
        <f>LoRa_RxDone_OK!I33</f>
        <v>0</v>
      </c>
      <c r="J33">
        <f>LoRa_RxDone_OK!J33</f>
        <v>0</v>
      </c>
    </row>
    <row r="34" spans="3:10" x14ac:dyDescent="0.25">
      <c r="C34" t="str">
        <f>LoRa_RxDone_OK!C34</f>
        <v>CRC</v>
      </c>
      <c r="D34" s="60" t="str">
        <f>I45</f>
        <v>DISABLED</v>
      </c>
      <c r="E34">
        <f>LoRa_RxDone_OK!E34</f>
        <v>0</v>
      </c>
      <c r="F34">
        <f>LoRa_RxDone_OK!F34</f>
        <v>0</v>
      </c>
      <c r="G34" t="str">
        <f>LoRa_RxDone_OK!G34</f>
        <v>uint32_t</v>
      </c>
      <c r="H34" t="str">
        <f>LoRa_RxDone_OK!H34</f>
        <v>frequency</v>
      </c>
      <c r="I34" s="56" t="s">
        <v>86</v>
      </c>
      <c r="J34">
        <f>LoRa_RxDone_OK!J34</f>
        <v>0</v>
      </c>
    </row>
    <row r="35" spans="3:10" x14ac:dyDescent="0.25">
      <c r="C35" t="str">
        <f>LoRa_RxDone_OK!C35</f>
        <v>IQInverted</v>
      </c>
      <c r="D35" s="60" t="str">
        <f>I49</f>
        <v>ENABLED</v>
      </c>
      <c r="E35">
        <f>LoRa_RxDone_OK!E35</f>
        <v>0</v>
      </c>
      <c r="F35">
        <f>LoRa_RxDone_OK!F35</f>
        <v>0</v>
      </c>
      <c r="G35" t="str">
        <f>LoRa_RxDone_OK!G35</f>
        <v>uint32_t</v>
      </c>
      <c r="H35" t="str">
        <f>LoRa_RxDone_OK!H35</f>
        <v>frequencyDeviation</v>
      </c>
      <c r="I35" s="2">
        <f>LoRa_RxDone_OK!I35</f>
        <v>25000</v>
      </c>
      <c r="J35">
        <f>LoRa_RxDone_OK!J35</f>
        <v>0</v>
      </c>
    </row>
    <row r="36" spans="3:10" x14ac:dyDescent="0.25">
      <c r="C36" t="str">
        <f>LoRa_RxDone_OK!C36</f>
        <v>HopPeriod</v>
      </c>
      <c r="D36" s="60" t="str">
        <f>I48</f>
        <v>DISABLED</v>
      </c>
      <c r="E36">
        <f>LoRa_RxDone_OK!E36</f>
        <v>0</v>
      </c>
      <c r="F36">
        <f>LoRa_RxDone_OK!F36</f>
        <v>0</v>
      </c>
      <c r="G36" t="str">
        <f>LoRa_RxDone_OK!G36</f>
        <v>uint32_t</v>
      </c>
      <c r="H36" t="str">
        <f>LoRa_RxDone_OK!H36</f>
        <v>bitRate</v>
      </c>
      <c r="I36" s="2">
        <f>LoRa_RxDone_OK!I36</f>
        <v>50000</v>
      </c>
      <c r="J36">
        <f>LoRa_RxDone_OK!J36</f>
        <v>0</v>
      </c>
    </row>
    <row r="37" spans="3:10" x14ac:dyDescent="0.25">
      <c r="C37" t="str">
        <f>LoRa_RxDone_OK!C37</f>
        <v>errorCodingRate</v>
      </c>
      <c r="D37" s="60" t="str">
        <f>I50</f>
        <v>CR_4_5</v>
      </c>
      <c r="E37">
        <f>LoRa_RxDone_OK!E37</f>
        <v>0</v>
      </c>
      <c r="F37">
        <f>LoRa_RxDone_OK!F37</f>
        <v>0</v>
      </c>
      <c r="G37" t="str">
        <f>LoRa_RxDone_OK!G37</f>
        <v>uint16_t</v>
      </c>
      <c r="H37" t="str">
        <f>LoRa_RxDone_OK!H37</f>
        <v>preambleLen</v>
      </c>
      <c r="I37" s="2">
        <f>LoRa_RxDone_OK!I37</f>
        <v>8</v>
      </c>
      <c r="J37">
        <f>LoRa_RxDone_OK!J37</f>
        <v>0</v>
      </c>
    </row>
    <row r="38" spans="3:10" x14ac:dyDescent="0.25">
      <c r="C38" t="str">
        <f>LoRa_RxDone_OK!C38</f>
        <v>implicitHeaderMode</v>
      </c>
      <c r="D38" s="60" t="str">
        <f>I51</f>
        <v>0</v>
      </c>
      <c r="E38">
        <f>LoRa_RxDone_OK!E38</f>
        <v>0</v>
      </c>
      <c r="F38">
        <f>LoRa_RxDone_OK!F38</f>
        <v>0</v>
      </c>
      <c r="G38" t="str">
        <f>LoRa_RxDone_OK!G38</f>
        <v>uint8_t</v>
      </c>
      <c r="H38" t="str">
        <f>LoRa_RxDone_OK!H38</f>
        <v>syncWordLoRa</v>
      </c>
      <c r="I38" s="56" t="s">
        <v>69</v>
      </c>
      <c r="J38">
        <f>LoRa_RxDone_OK!J38</f>
        <v>0</v>
      </c>
    </row>
    <row r="39" spans="3:10" x14ac:dyDescent="0.25">
      <c r="C39" t="str">
        <f>LoRa_RxDone_OK!C39</f>
        <v>preambleLen</v>
      </c>
      <c r="D39" s="60">
        <f>I37</f>
        <v>8</v>
      </c>
      <c r="E39">
        <f>LoRa_RxDone_OK!E39</f>
        <v>0</v>
      </c>
      <c r="F39">
        <f>LoRa_RxDone_OK!F39</f>
        <v>0</v>
      </c>
      <c r="G39" t="str">
        <f>LoRa_RxDone_OK!G39</f>
        <v>uint8_t</v>
      </c>
      <c r="H39" t="str">
        <f>LoRa_RxDone_OK!H39</f>
        <v>syncWord</v>
      </c>
      <c r="I39" s="2" t="str">
        <f>LoRa_RxDone_OK!I39</f>
        <v>0xc1 0x94 0xc1</v>
      </c>
      <c r="J39">
        <f>LoRa_RxDone_OK!J39</f>
        <v>0</v>
      </c>
    </row>
    <row r="40" spans="3:10" x14ac:dyDescent="0.25">
      <c r="C40" t="str">
        <f>LoRa_RxDone_OK!C40</f>
        <v>symbolTimeout</v>
      </c>
      <c r="D40" s="60">
        <v>4</v>
      </c>
      <c r="E40">
        <f>LoRa_RxDone_OK!E40</f>
        <v>0</v>
      </c>
      <c r="F40">
        <f>LoRa_RxDone_OK!F40</f>
        <v>0</v>
      </c>
      <c r="G40" t="str">
        <f>LoRa_RxDone_OK!G40</f>
        <v>uint8_t</v>
      </c>
      <c r="H40" t="str">
        <f>LoRa_RxDone_OK!H40</f>
        <v>syncWordLen</v>
      </c>
      <c r="I40" s="2">
        <f>LoRa_RxDone_OK!I40</f>
        <v>3</v>
      </c>
      <c r="J40">
        <f>LoRa_RxDone_OK!J40</f>
        <v>0</v>
      </c>
    </row>
    <row r="41" spans="3:10" x14ac:dyDescent="0.25">
      <c r="C41" t="str">
        <f>LoRa_RxDone_OK!C41</f>
        <v>FSKfreqDeviation</v>
      </c>
      <c r="D41" s="60">
        <f>I35</f>
        <v>25000</v>
      </c>
      <c r="E41">
        <f>LoRa_RxDone_OK!E41</f>
        <v>0</v>
      </c>
      <c r="F41">
        <f>LoRa_RxDone_OK!F41</f>
        <v>0</v>
      </c>
      <c r="G41" t="str">
        <f>LoRa_RxDone_OK!G41</f>
        <v>RadioModulation_t</v>
      </c>
      <c r="H41" t="str">
        <f>LoRa_RxDone_OK!H41</f>
        <v>modulation</v>
      </c>
      <c r="I41" s="56" t="s">
        <v>197</v>
      </c>
      <c r="J41">
        <f>LoRa_RxDone_OK!J41</f>
        <v>0</v>
      </c>
    </row>
    <row r="42" spans="3:10" x14ac:dyDescent="0.25">
      <c r="C42" t="str">
        <f>LoRa_RxDone_OK!C42</f>
        <v>FSKBitRate</v>
      </c>
      <c r="D42" s="60">
        <f>I36</f>
        <v>50000</v>
      </c>
      <c r="E42">
        <f>LoRa_RxDone_OK!E42</f>
        <v>0</v>
      </c>
      <c r="F42">
        <f>LoRa_RxDone_OK!F42</f>
        <v>0</v>
      </c>
      <c r="G42" t="str">
        <f>LoRa_RxDone_OK!G42</f>
        <v>RadioDataRate_t</v>
      </c>
      <c r="H42" t="str">
        <f>LoRa_RxDone_OK!H42</f>
        <v>dataRate</v>
      </c>
      <c r="I42" s="56" t="s">
        <v>215</v>
      </c>
      <c r="J42">
        <f>LoRa_RxDone_OK!J42</f>
        <v>0</v>
      </c>
    </row>
    <row r="43" spans="3:10" x14ac:dyDescent="0.25">
      <c r="C43" t="str">
        <f>LoRa_RxDone_OK!C43</f>
        <v>FSK_PREAMBLE</v>
      </c>
      <c r="D43" s="60">
        <f>I37</f>
        <v>8</v>
      </c>
      <c r="E43">
        <f>LoRa_RxDone_OK!E43</f>
        <v>0</v>
      </c>
      <c r="F43">
        <f>LoRa_RxDone_OK!F43</f>
        <v>0</v>
      </c>
      <c r="G43" t="str">
        <f>LoRa_RxDone_OK!G43</f>
        <v>RadioLoRaBandWidth_t</v>
      </c>
      <c r="H43" t="str">
        <f>LoRa_RxDone_OK!H43</f>
        <v>bandWidth</v>
      </c>
      <c r="I43" s="56" t="s">
        <v>216</v>
      </c>
      <c r="J43">
        <f>LoRa_RxDone_OK!J43</f>
        <v>0</v>
      </c>
    </row>
    <row r="44" spans="3:10" x14ac:dyDescent="0.25">
      <c r="C44" t="str">
        <f>LoRa_RxDone_OK!C44</f>
        <v>fskDataShaping</v>
      </c>
      <c r="D44" s="60" t="str">
        <f>I63</f>
        <v>FSK_SHAPING_GAUSS_BT_0_5</v>
      </c>
      <c r="E44">
        <f>LoRa_RxDone_OK!E44</f>
        <v>0</v>
      </c>
      <c r="F44">
        <f>LoRa_RxDone_OK!F44</f>
        <v>0</v>
      </c>
      <c r="G44" t="str">
        <f>LoRa_RxDone_OK!G44</f>
        <v>int8_t</v>
      </c>
      <c r="H44" t="str">
        <f>LoRa_RxDone_OK!H44</f>
        <v>outputPower</v>
      </c>
      <c r="I44" s="2" t="str">
        <f>LoRa_RxDone_OK!I44</f>
        <v>txPower868[LoRa_txPower]</v>
      </c>
      <c r="J44">
        <f>LoRa_RxDone_OK!J44</f>
        <v>0</v>
      </c>
    </row>
    <row r="45" spans="3:10" x14ac:dyDescent="0.25">
      <c r="C45">
        <f>LoRa_RxDone_OK!C45</f>
        <v>0</v>
      </c>
      <c r="D45" s="2">
        <f>LoRa_RxDone_OK!D45</f>
        <v>0</v>
      </c>
      <c r="E45">
        <f>LoRa_RxDone_OK!E45</f>
        <v>0</v>
      </c>
      <c r="F45">
        <f>LoRa_RxDone_OK!F45</f>
        <v>0</v>
      </c>
      <c r="G45" t="str">
        <f>LoRa_RxDone_OK!G45</f>
        <v>uint8_t</v>
      </c>
      <c r="H45" t="str">
        <f>LoRa_RxDone_OK!H45</f>
        <v>crcOn</v>
      </c>
      <c r="I45" s="6" t="s">
        <v>93</v>
      </c>
      <c r="J45">
        <f>LoRa_RxDone_OK!J45</f>
        <v>0</v>
      </c>
    </row>
    <row r="46" spans="3:10" x14ac:dyDescent="0.25">
      <c r="C46">
        <f>LoRa_RxDone_OK!C46</f>
        <v>0</v>
      </c>
      <c r="D46" s="2">
        <f>LoRa_RxDone_OK!D46</f>
        <v>0</v>
      </c>
      <c r="E46">
        <f>LoRa_RxDone_OK!E46</f>
        <v>0</v>
      </c>
      <c r="F46">
        <f>LoRa_RxDone_OK!F46</f>
        <v>0</v>
      </c>
      <c r="G46" t="str">
        <f>LoRa_RxDone_OK!G46</f>
        <v>uint8_t</v>
      </c>
      <c r="H46" t="str">
        <f>LoRa_RxDone_OK!H46</f>
        <v>paBoost</v>
      </c>
      <c r="I46" s="2" t="str">
        <f>LoRa_RxDone_OK!I46</f>
        <v>0</v>
      </c>
      <c r="J46">
        <f>LoRa_RxDone_OK!J46</f>
        <v>0</v>
      </c>
    </row>
    <row r="47" spans="3:10" x14ac:dyDescent="0.25">
      <c r="C47">
        <f>LoRa_RxDone_OK!C47</f>
        <v>0</v>
      </c>
      <c r="D47" s="2">
        <f>LoRa_RxDone_OK!D47</f>
        <v>0</v>
      </c>
      <c r="E47">
        <f>LoRa_RxDone_OK!E47</f>
        <v>0</v>
      </c>
      <c r="F47">
        <f>LoRa_RxDone_OK!F47</f>
        <v>0</v>
      </c>
      <c r="G47" t="str">
        <f>LoRa_RxDone_OK!G47</f>
        <v>uint8_t</v>
      </c>
      <c r="H47" t="str">
        <f>LoRa_RxDone_OK!H47</f>
        <v>flags</v>
      </c>
      <c r="I47" s="62" t="s">
        <v>154</v>
      </c>
      <c r="J47">
        <f>LoRa_RxDone_OK!J47</f>
        <v>0</v>
      </c>
    </row>
    <row r="48" spans="3:10" x14ac:dyDescent="0.25">
      <c r="C48">
        <f>LoRa_RxDone_OK!C48</f>
        <v>0</v>
      </c>
      <c r="D48" s="2">
        <f>LoRa_RxDone_OK!D48</f>
        <v>0</v>
      </c>
      <c r="E48">
        <f>LoRa_RxDone_OK!E48</f>
        <v>0</v>
      </c>
      <c r="F48">
        <f>LoRa_RxDone_OK!F48</f>
        <v>0</v>
      </c>
      <c r="G48" t="str">
        <f>LoRa_RxDone_OK!G48</f>
        <v>uint16_t</v>
      </c>
      <c r="H48" t="str">
        <f>LoRa_RxDone_OK!H48</f>
        <v>frequencyHopPeriod</v>
      </c>
      <c r="I48" s="56" t="s">
        <v>93</v>
      </c>
      <c r="J48" t="str">
        <f>LoRa_RxDone_OK!J48</f>
        <v>RADIO_FLAG_RECEIVING</v>
      </c>
    </row>
    <row r="49" spans="3:10" x14ac:dyDescent="0.25">
      <c r="C49">
        <f>LoRa_RxDone_OK!C49</f>
        <v>0</v>
      </c>
      <c r="D49" s="2">
        <f>LoRa_RxDone_OK!D49</f>
        <v>0</v>
      </c>
      <c r="E49">
        <f>LoRa_RxDone_OK!E49</f>
        <v>0</v>
      </c>
      <c r="F49">
        <f>LoRa_RxDone_OK!F49</f>
        <v>0</v>
      </c>
      <c r="G49" t="str">
        <f>LoRa_RxDone_OK!G49</f>
        <v>uint8_t</v>
      </c>
      <c r="H49" t="str">
        <f>LoRa_RxDone_OK!H49</f>
        <v>iqInverted</v>
      </c>
      <c r="I49" s="6" t="s">
        <v>39</v>
      </c>
      <c r="J49">
        <f>LoRa_RxDone_OK!J49</f>
        <v>0</v>
      </c>
    </row>
    <row r="50" spans="3:10" x14ac:dyDescent="0.25">
      <c r="C50">
        <f>LoRa_RxDone_OK!C50</f>
        <v>0</v>
      </c>
      <c r="D50" s="2">
        <f>LoRa_RxDone_OK!D50</f>
        <v>0</v>
      </c>
      <c r="E50">
        <f>LoRa_RxDone_OK!E50</f>
        <v>0</v>
      </c>
      <c r="F50">
        <f>LoRa_RxDone_OK!F50</f>
        <v>0</v>
      </c>
      <c r="G50" t="str">
        <f>LoRa_RxDone_OK!G50</f>
        <v>RadioErrorCodingRate_t</v>
      </c>
      <c r="H50" t="str">
        <f>LoRa_RxDone_OK!H50</f>
        <v>errorCodingRate</v>
      </c>
      <c r="I50" s="2" t="str">
        <f>LoRa_RxDone_OK!I50</f>
        <v>CR_4_5</v>
      </c>
      <c r="J50">
        <f>LoRa_RxDone_OK!J50</f>
        <v>0</v>
      </c>
    </row>
    <row r="51" spans="3:10" x14ac:dyDescent="0.25">
      <c r="C51">
        <f>LoRa_RxDone_OK!C51</f>
        <v>0</v>
      </c>
      <c r="D51" s="2">
        <f>LoRa_RxDone_OK!D51</f>
        <v>0</v>
      </c>
      <c r="E51">
        <f>LoRa_RxDone_OK!E51</f>
        <v>0</v>
      </c>
      <c r="F51">
        <f>LoRa_RxDone_OK!F51</f>
        <v>0</v>
      </c>
      <c r="G51" t="str">
        <f>LoRa_RxDone_OK!G51</f>
        <v>uint8_t</v>
      </c>
      <c r="H51" t="str">
        <f>LoRa_RxDone_OK!H51</f>
        <v>implicitHeaderMode</v>
      </c>
      <c r="I51" s="2" t="str">
        <f>LoRa_RxDone_OK!I51</f>
        <v>0</v>
      </c>
      <c r="J51">
        <f>LoRa_RxDone_OK!J51</f>
        <v>0</v>
      </c>
    </row>
    <row r="52" spans="3:10" x14ac:dyDescent="0.25">
      <c r="C52">
        <f>LoRa_RxDone_OK!C52</f>
        <v>0</v>
      </c>
      <c r="D52" s="2">
        <f>LoRa_RxDone_OK!D52</f>
        <v>0</v>
      </c>
      <c r="E52">
        <f>LoRa_RxDone_OK!E52</f>
        <v>0</v>
      </c>
      <c r="F52">
        <f>LoRa_RxDone_OK!F52</f>
        <v>0</v>
      </c>
      <c r="G52">
        <f>LoRa_RxDone_OK!G52</f>
        <v>0</v>
      </c>
      <c r="H52">
        <f>LoRa_RxDone_OK!H52</f>
        <v>0</v>
      </c>
      <c r="I52" s="2">
        <f>LoRa_RxDone_OK!I52</f>
        <v>0</v>
      </c>
      <c r="J52">
        <f>LoRa_RxDone_OK!J52</f>
        <v>0</v>
      </c>
    </row>
    <row r="53" spans="3:10" x14ac:dyDescent="0.25">
      <c r="C53">
        <f>LoRa_RxDone_OK!C53</f>
        <v>0</v>
      </c>
      <c r="D53" s="2">
        <f>LoRa_RxDone_OK!D53</f>
        <v>0</v>
      </c>
      <c r="E53">
        <f>LoRa_RxDone_OK!E53</f>
        <v>0</v>
      </c>
      <c r="F53">
        <f>LoRa_RxDone_OK!F53</f>
        <v>0</v>
      </c>
      <c r="G53" t="str">
        <f>LoRa_RxDone_OK!G53</f>
        <v>uint8_t</v>
      </c>
      <c r="H53" t="str">
        <f>LoRa_RxDone_OK!H53</f>
        <v>dataBufferLen</v>
      </c>
      <c r="I53" s="2" t="str">
        <f>LoRa_RxDone_OK!I53</f>
        <v>REG_LORA_RXNBBYTES</v>
      </c>
      <c r="J53">
        <f>LoRa_RxDone_OK!J53</f>
        <v>0</v>
      </c>
    </row>
    <row r="54" spans="3:10" x14ac:dyDescent="0.25">
      <c r="C54">
        <f>LoRa_RxDone_OK!C54</f>
        <v>0</v>
      </c>
      <c r="D54" s="2">
        <f>LoRa_RxDone_OK!D54</f>
        <v>0</v>
      </c>
      <c r="E54">
        <f>LoRa_RxDone_OK!E54</f>
        <v>0</v>
      </c>
      <c r="F54">
        <f>LoRa_RxDone_OK!F54</f>
        <v>0</v>
      </c>
      <c r="G54" t="str">
        <f>LoRa_RxDone_OK!G54</f>
        <v>uint8_t *</v>
      </c>
      <c r="H54" t="str">
        <f>LoRa_RxDone_OK!H54</f>
        <v>dataBuffer</v>
      </c>
      <c r="I54" s="2" t="str">
        <f>LoRa_RxDone_OK!I54</f>
        <v>dane</v>
      </c>
      <c r="J54">
        <f>LoRa_RxDone_OK!J54</f>
        <v>0</v>
      </c>
    </row>
    <row r="55" spans="3:10" x14ac:dyDescent="0.25">
      <c r="C55">
        <f>LoRa_RxDone_OK!C55</f>
        <v>0</v>
      </c>
      <c r="D55" s="2">
        <f>LoRa_RxDone_OK!D55</f>
        <v>0</v>
      </c>
      <c r="E55">
        <f>LoRa_RxDone_OK!E55</f>
        <v>0</v>
      </c>
      <c r="F55">
        <f>LoRa_RxDone_OK!F55</f>
        <v>0</v>
      </c>
      <c r="G55" t="str">
        <f>LoRa_RxDone_OK!G55</f>
        <v>uint8_t</v>
      </c>
      <c r="H55" t="str">
        <f>LoRa_RxDone_OK!H55</f>
        <v>timeOnAirTimerId</v>
      </c>
      <c r="I55" s="2" t="str">
        <f>LoRa_RxDone_OK!I55</f>
        <v>TIME_ON_AIR_LOAD_VALUE</v>
      </c>
      <c r="J55">
        <f>LoRa_RxDone_OK!J55</f>
        <v>0</v>
      </c>
    </row>
    <row r="56" spans="3:10" x14ac:dyDescent="0.25">
      <c r="C56">
        <f>LoRa_RxDone_OK!C56</f>
        <v>0</v>
      </c>
      <c r="D56" s="2">
        <f>LoRa_RxDone_OK!D56</f>
        <v>0</v>
      </c>
      <c r="E56">
        <f>LoRa_RxDone_OK!E56</f>
        <v>0</v>
      </c>
      <c r="F56">
        <f>LoRa_RxDone_OK!F56</f>
        <v>0</v>
      </c>
      <c r="G56" t="str">
        <f>LoRa_RxDone_OK!G56</f>
        <v>uint8_t</v>
      </c>
      <c r="H56" t="str">
        <f>LoRa_RxDone_OK!H56</f>
        <v>fskRxWindowTimerId</v>
      </c>
      <c r="I56" s="2" t="str">
        <f>LoRa_RxDone_OK!I56</f>
        <v>0</v>
      </c>
      <c r="J56" t="str">
        <f>LoRa_RxDone_OK!J56</f>
        <v>RADIO_RxFSKTimeout</v>
      </c>
    </row>
    <row r="57" spans="3:10" x14ac:dyDescent="0.25">
      <c r="C57">
        <f>LoRa_RxDone_OK!C57</f>
        <v>0</v>
      </c>
      <c r="D57" s="2">
        <f>LoRa_RxDone_OK!D57</f>
        <v>0</v>
      </c>
      <c r="E57">
        <f>LoRa_RxDone_OK!E57</f>
        <v>0</v>
      </c>
      <c r="F57">
        <f>LoRa_RxDone_OK!F57</f>
        <v>0</v>
      </c>
      <c r="G57" t="str">
        <f>LoRa_RxDone_OK!G57</f>
        <v>uint8_t</v>
      </c>
      <c r="H57" t="str">
        <f>LoRa_RxDone_OK!H57</f>
        <v>watchdogTimerId</v>
      </c>
      <c r="I57" s="62" t="str">
        <f>I58</f>
        <v>WATCHDOG_DEFAULT_TIME</v>
      </c>
      <c r="J57" t="str">
        <f>LoRa_RxDone_OK!J57</f>
        <v>RADIO_WatchdogTimeout</v>
      </c>
    </row>
    <row r="58" spans="3:10" x14ac:dyDescent="0.25">
      <c r="C58">
        <f>LoRa_RxDone_OK!C58</f>
        <v>0</v>
      </c>
      <c r="D58" s="2">
        <f>LoRa_RxDone_OK!D58</f>
        <v>0</v>
      </c>
      <c r="E58">
        <f>LoRa_RxDone_OK!E58</f>
        <v>0</v>
      </c>
      <c r="F58">
        <f>LoRa_RxDone_OK!F58</f>
        <v>0</v>
      </c>
      <c r="G58" t="str">
        <f>LoRa_RxDone_OK!G58</f>
        <v>uint32_t</v>
      </c>
      <c r="H58" t="str">
        <f>LoRa_RxDone_OK!H58</f>
        <v>watchdogTimerTimeout</v>
      </c>
      <c r="I58" s="2" t="str">
        <f>LoRa_RxDone_OK!I58</f>
        <v>WATCHDOG_DEFAULT_TIME</v>
      </c>
      <c r="J58">
        <f>LoRa_RxDone_OK!J58</f>
        <v>0</v>
      </c>
    </row>
    <row r="59" spans="3:10" x14ac:dyDescent="0.25">
      <c r="C59">
        <f>LoRa_RxDone_OK!C59</f>
        <v>0</v>
      </c>
      <c r="D59" s="2">
        <f>LoRa_RxDone_OK!D59</f>
        <v>0</v>
      </c>
      <c r="E59">
        <f>LoRa_RxDone_OK!E59</f>
        <v>0</v>
      </c>
      <c r="F59">
        <f>LoRa_RxDone_OK!F59</f>
        <v>0</v>
      </c>
      <c r="G59" t="str">
        <f>LoRa_RxDone_OK!G59</f>
        <v>uint8_t</v>
      </c>
      <c r="H59" t="str">
        <f>LoRa_RxDone_OK!H59</f>
        <v>initialized</v>
      </c>
      <c r="I59" s="2">
        <f>LoRa_RxDone_OK!I59</f>
        <v>1</v>
      </c>
      <c r="J59">
        <f>LoRa_RxDone_OK!J59</f>
        <v>0</v>
      </c>
    </row>
    <row r="60" spans="3:10" x14ac:dyDescent="0.25">
      <c r="C60">
        <f>LoRa_RxDone_OK!C60</f>
        <v>0</v>
      </c>
      <c r="D60" s="2">
        <f>LoRa_RxDone_OK!D60</f>
        <v>0</v>
      </c>
      <c r="E60">
        <f>LoRa_RxDone_OK!E60</f>
        <v>0</v>
      </c>
      <c r="F60">
        <f>LoRa_RxDone_OK!F60</f>
        <v>0</v>
      </c>
      <c r="G60" t="str">
        <f>LoRa_RxDone_OK!G60</f>
        <v>uint32_t</v>
      </c>
      <c r="H60" t="str">
        <f>LoRa_RxDone_OK!H60</f>
        <v>fhssNextFrequency</v>
      </c>
      <c r="I60" s="2" t="str">
        <f>LoRa_RxDone_OK!I60</f>
        <v>NULL</v>
      </c>
      <c r="J60">
        <f>LoRa_RxDone_OK!J60</f>
        <v>0</v>
      </c>
    </row>
    <row r="61" spans="3:10" x14ac:dyDescent="0.25">
      <c r="C61">
        <f>LoRa_RxDone_OK!C61</f>
        <v>0</v>
      </c>
      <c r="D61" s="2">
        <f>LoRa_RxDone_OK!D61</f>
        <v>0</v>
      </c>
      <c r="E61">
        <f>LoRa_RxDone_OK!E61</f>
        <v>0</v>
      </c>
      <c r="F61">
        <f>LoRa_RxDone_OK!F61</f>
        <v>0</v>
      </c>
      <c r="G61" t="str">
        <f>LoRa_RxDone_OK!G61</f>
        <v>uint8_t</v>
      </c>
      <c r="H61" t="str">
        <f>LoRa_RxDone_OK!H61</f>
        <v>regVersion</v>
      </c>
      <c r="I61" s="2" t="str">
        <f>LoRa_RxDone_OK!I61</f>
        <v>REG_VERSION</v>
      </c>
      <c r="J61">
        <f>LoRa_RxDone_OK!J61</f>
        <v>0</v>
      </c>
    </row>
    <row r="62" spans="3:10" x14ac:dyDescent="0.25">
      <c r="C62">
        <f>LoRa_RxDone_OK!C62</f>
        <v>0</v>
      </c>
      <c r="D62" s="2">
        <f>LoRa_RxDone_OK!D62</f>
        <v>0</v>
      </c>
      <c r="E62">
        <f>LoRa_RxDone_OK!E62</f>
        <v>0</v>
      </c>
      <c r="F62">
        <f>LoRa_RxDone_OK!F62</f>
        <v>0</v>
      </c>
      <c r="G62" t="str">
        <f>LoRa_RxDone_OK!G62</f>
        <v>int8_t</v>
      </c>
      <c r="H62" t="str">
        <f>LoRa_RxDone_OK!H62</f>
        <v>packetSNR</v>
      </c>
      <c r="I62" s="2" t="str">
        <f>LoRa_RxDone_OK!I62</f>
        <v>packetSNR</v>
      </c>
      <c r="J62">
        <f>LoRa_RxDone_OK!J62</f>
        <v>0</v>
      </c>
    </row>
    <row r="63" spans="3:10" x14ac:dyDescent="0.25">
      <c r="C63">
        <f>LoRa_RxDone_OK!C63</f>
        <v>0</v>
      </c>
      <c r="D63" s="2">
        <f>LoRa_RxDone_OK!D63</f>
        <v>0</v>
      </c>
      <c r="E63">
        <f>LoRa_RxDone_OK!E63</f>
        <v>0</v>
      </c>
      <c r="F63">
        <f>LoRa_RxDone_OK!F63</f>
        <v>0</v>
      </c>
      <c r="G63" t="str">
        <f>LoRa_RxDone_OK!G63</f>
        <v>RadioFSKShaping_t</v>
      </c>
      <c r="H63" t="str">
        <f>LoRa_RxDone_OK!H63</f>
        <v>fskDataShaping</v>
      </c>
      <c r="I63" s="2" t="str">
        <f>LoRa_RxDone_OK!I63</f>
        <v>FSK_SHAPING_GAUSS_BT_0_5</v>
      </c>
      <c r="J63">
        <f>LoRa_RxDone_OK!J63</f>
        <v>0</v>
      </c>
    </row>
    <row r="64" spans="3:10" x14ac:dyDescent="0.25">
      <c r="C64">
        <f>LoRa_RxDone_OK!C64</f>
        <v>0</v>
      </c>
      <c r="D64" s="2">
        <f>LoRa_RxDone_OK!D64</f>
        <v>0</v>
      </c>
      <c r="E64">
        <f>LoRa_RxDone_OK!E64</f>
        <v>0</v>
      </c>
      <c r="F64">
        <f>LoRa_RxDone_OK!F64</f>
        <v>0</v>
      </c>
      <c r="G64" t="str">
        <f>LoRa_RxDone_OK!G64</f>
        <v>RadioFSKBandWidth_t</v>
      </c>
      <c r="H64" t="str">
        <f>LoRa_RxDone_OK!H64</f>
        <v>rxBw</v>
      </c>
      <c r="I64" s="2" t="str">
        <f>LoRa_RxDone_OK!I64</f>
        <v>FSKBW_50_0KHZ</v>
      </c>
      <c r="J64">
        <f>LoRa_RxDone_OK!J64</f>
        <v>0</v>
      </c>
    </row>
    <row r="65" spans="3:10" x14ac:dyDescent="0.25">
      <c r="C65">
        <f>LoRa_RxDone_OK!C65</f>
        <v>0</v>
      </c>
      <c r="D65" s="2">
        <f>LoRa_RxDone_OK!D65</f>
        <v>0</v>
      </c>
      <c r="E65">
        <f>LoRa_RxDone_OK!E65</f>
        <v>0</v>
      </c>
      <c r="F65">
        <f>LoRa_RxDone_OK!F65</f>
        <v>0</v>
      </c>
      <c r="G65" t="str">
        <f>LoRa_RxDone_OK!G65</f>
        <v>RadioFSKBandWidth_t</v>
      </c>
      <c r="H65" t="str">
        <f>LoRa_RxDone_OK!H65</f>
        <v>afcBw</v>
      </c>
      <c r="I65" s="2" t="str">
        <f>LoRa_RxDone_OK!I65</f>
        <v>FSKBW_83_3KHZ</v>
      </c>
      <c r="J65">
        <f>LoRa_RxDone_OK!J65</f>
        <v>0</v>
      </c>
    </row>
    <row r="66" spans="3:10" x14ac:dyDescent="0.25">
      <c r="C66">
        <f>LoRa_RxDone_OK!C66</f>
        <v>0</v>
      </c>
      <c r="D66" s="2">
        <f>LoRa_RxDone_OK!D66</f>
        <v>0</v>
      </c>
      <c r="E66">
        <f>LoRa_RxDone_OK!E66</f>
        <v>0</v>
      </c>
      <c r="F66">
        <f>LoRa_RxDone_OK!F66</f>
        <v>0</v>
      </c>
      <c r="G66">
        <f>LoRa_RxDone_OK!G66</f>
        <v>0</v>
      </c>
      <c r="H66">
        <f>LoRa_RxDone_OK!H66</f>
        <v>0</v>
      </c>
      <c r="I66" s="2">
        <f>LoRa_RxDone_OK!I66</f>
        <v>0</v>
      </c>
      <c r="J66">
        <f>LoRa_RxDone_OK!J66</f>
        <v>0</v>
      </c>
    </row>
    <row r="67" spans="3:10" x14ac:dyDescent="0.25">
      <c r="C67">
        <f>LoRa_RxDone_OK!C67</f>
        <v>0</v>
      </c>
      <c r="D67" s="2">
        <f>LoRa_RxDone_OK!D67</f>
        <v>0</v>
      </c>
      <c r="E67">
        <f>LoRa_RxDone_OK!E67</f>
        <v>0</v>
      </c>
      <c r="F67">
        <f>LoRa_RxDone_OK!F67</f>
        <v>0</v>
      </c>
      <c r="G67">
        <f>LoRa_RxDone_OK!G67</f>
        <v>0</v>
      </c>
      <c r="H67">
        <f>LoRa_RxDone_OK!H67</f>
        <v>0</v>
      </c>
      <c r="I67" s="2">
        <f>LoRa_RxDone_OK!I67</f>
        <v>0</v>
      </c>
      <c r="J67">
        <f>LoRa_RxDone_OK!J67</f>
        <v>0</v>
      </c>
    </row>
    <row r="68" spans="3:10" x14ac:dyDescent="0.25">
      <c r="C68">
        <f>LoRa_RxDone_OK!C68</f>
        <v>0</v>
      </c>
      <c r="D68" s="2">
        <f>LoRa_RxDone_OK!D68</f>
        <v>0</v>
      </c>
      <c r="E68">
        <f>LoRa_RxDone_OK!E68</f>
        <v>0</v>
      </c>
      <c r="F68">
        <f>LoRa_RxDone_OK!F68</f>
        <v>0</v>
      </c>
      <c r="G68">
        <f>LoRa_RxDone_OK!G68</f>
        <v>0</v>
      </c>
      <c r="H68">
        <f>LoRa_RxDone_OK!H68</f>
        <v>0</v>
      </c>
      <c r="I68" s="2">
        <f>LoRa_RxDone_OK!I68</f>
        <v>0</v>
      </c>
      <c r="J68">
        <f>LoRa_RxDone_OK!J68</f>
        <v>0</v>
      </c>
    </row>
    <row r="69" spans="3:10" x14ac:dyDescent="0.25">
      <c r="C69">
        <f>LoRa_RxDone_OK!C69</f>
        <v>0</v>
      </c>
      <c r="D69" s="2">
        <f>LoRa_RxDone_OK!D69</f>
        <v>0</v>
      </c>
      <c r="E69">
        <f>LoRa_RxDone_OK!E69</f>
        <v>0</v>
      </c>
      <c r="F69">
        <f>LoRa_RxDone_OK!F69</f>
        <v>0</v>
      </c>
      <c r="G69" t="str">
        <f>LoRa_RxDone_OK!G69</f>
        <v>ChannelParams_t</v>
      </c>
      <c r="H69" t="str">
        <f>LoRa_RxDone_OK!H69</f>
        <v>Channels</v>
      </c>
      <c r="I69" s="2" t="str">
        <f>LoRa_RxDone_OK!I69</f>
        <v>DefaultChannels868</v>
      </c>
      <c r="J69">
        <f>LoRa_RxDone_OK!J69</f>
        <v>0</v>
      </c>
    </row>
    <row r="70" spans="3:10" x14ac:dyDescent="0.25">
      <c r="C70">
        <f>LoRa_RxDone_OK!C70</f>
        <v>0</v>
      </c>
      <c r="D70" s="2">
        <f>LoRa_RxDone_OK!D70</f>
        <v>0</v>
      </c>
      <c r="E70">
        <f>LoRa_RxDone_OK!E70</f>
        <v>0</v>
      </c>
      <c r="F70">
        <f>LoRa_RxDone_OK!F70</f>
        <v>0</v>
      </c>
      <c r="G70" t="str">
        <f>LoRa_RxDone_OK!G70</f>
        <v>uint8_t</v>
      </c>
      <c r="H70" t="str">
        <f>LoRa_RxDone_OK!H70</f>
        <v>maxPayloadSize[]</v>
      </c>
      <c r="I70" s="2" t="str">
        <f>LoRa_RxDone_OK!I70</f>
        <v>MAX_EU_SINGLE_BAND_CHANNELS</v>
      </c>
      <c r="J70">
        <f>LoRa_RxDone_OK!J70</f>
        <v>0</v>
      </c>
    </row>
    <row r="71" spans="3:10" x14ac:dyDescent="0.25">
      <c r="C71">
        <f>LoRa_RxDone_OK!C71</f>
        <v>0</v>
      </c>
      <c r="D71" s="2">
        <f>LoRa_RxDone_OK!D71</f>
        <v>0</v>
      </c>
      <c r="E71">
        <f>LoRa_RxDone_OK!E71</f>
        <v>0</v>
      </c>
      <c r="F71">
        <f>LoRa_RxDone_OK!F71</f>
        <v>0</v>
      </c>
      <c r="G71" t="str">
        <f>LoRa_RxDone_OK!G71</f>
        <v>uint8_t</v>
      </c>
      <c r="H71" t="str">
        <f>LoRa_RxDone_OK!H71</f>
        <v>modulation[]</v>
      </c>
      <c r="I71" s="2">
        <f>LoRa_RxDone_OK!I71</f>
        <v>0</v>
      </c>
      <c r="J71">
        <f>LoRa_RxDone_OK!J71</f>
        <v>0</v>
      </c>
    </row>
    <row r="72" spans="3:10" x14ac:dyDescent="0.25">
      <c r="C72">
        <f>LoRa_RxDone_OK!C72</f>
        <v>0</v>
      </c>
      <c r="D72" s="2">
        <f>LoRa_RxDone_OK!D72</f>
        <v>0</v>
      </c>
      <c r="E72">
        <f>LoRa_RxDone_OK!E72</f>
        <v>0</v>
      </c>
      <c r="F72">
        <f>LoRa_RxDone_OK!F72</f>
        <v>0</v>
      </c>
      <c r="G72" t="str">
        <f>LoRa_RxDone_OK!G72</f>
        <v>uint8_t</v>
      </c>
      <c r="H72" t="str">
        <f>LoRa_RxDone_OK!H72</f>
        <v>spreadingFactor[]</v>
      </c>
      <c r="I72" s="2">
        <f>LoRa_RxDone_OK!I72</f>
        <v>0</v>
      </c>
      <c r="J72">
        <f>LoRa_RxDone_OK!J72</f>
        <v>0</v>
      </c>
    </row>
    <row r="73" spans="3:10" x14ac:dyDescent="0.25">
      <c r="C73">
        <f>LoRa_RxDone_OK!C73</f>
        <v>0</v>
      </c>
      <c r="D73" s="2">
        <f>LoRa_RxDone_OK!D73</f>
        <v>0</v>
      </c>
      <c r="E73">
        <f>LoRa_RxDone_OK!E73</f>
        <v>0</v>
      </c>
      <c r="F73">
        <f>LoRa_RxDone_OK!F73</f>
        <v>0</v>
      </c>
      <c r="G73" t="str">
        <f>LoRa_RxDone_OK!G73</f>
        <v>uint8_t</v>
      </c>
      <c r="H73" t="str">
        <f>LoRa_RxDone_OK!H73</f>
        <v>bandwidth[]</v>
      </c>
      <c r="I73" s="2">
        <f>LoRa_RxDone_OK!I73</f>
        <v>0</v>
      </c>
      <c r="J73">
        <f>LoRa_RxDone_OK!J73</f>
        <v>0</v>
      </c>
    </row>
    <row r="74" spans="3:10" x14ac:dyDescent="0.25">
      <c r="C74">
        <f>LoRa_RxDone_OK!C74</f>
        <v>0</v>
      </c>
      <c r="D74" s="2">
        <f>LoRa_RxDone_OK!D74</f>
        <v>0</v>
      </c>
      <c r="E74">
        <f>LoRa_RxDone_OK!E74</f>
        <v>0</v>
      </c>
      <c r="F74">
        <f>LoRa_RxDone_OK!F74</f>
        <v>0</v>
      </c>
      <c r="G74" t="str">
        <f>LoRa_RxDone_OK!G74</f>
        <v>uint8_t</v>
      </c>
      <c r="H74" t="str">
        <f>LoRa_RxDone_OK!H74</f>
        <v>txPower868[]</v>
      </c>
      <c r="I74" s="2">
        <f>LoRa_RxDone_OK!I74</f>
        <v>0</v>
      </c>
      <c r="J74">
        <f>LoRa_RxDone_OK!J74</f>
        <v>0</v>
      </c>
    </row>
    <row r="75" spans="3:10" x14ac:dyDescent="0.25">
      <c r="C75">
        <f>LoRa_RxDone_OK!C75</f>
        <v>0</v>
      </c>
      <c r="D75" s="2">
        <f>LoRa_RxDone_OK!D75</f>
        <v>0</v>
      </c>
      <c r="E75">
        <f>LoRa_RxDone_OK!E75</f>
        <v>0</v>
      </c>
      <c r="F75">
        <f>LoRa_RxDone_OK!F75</f>
        <v>0</v>
      </c>
      <c r="G75" t="str">
        <f>LoRa_RxDone_OK!G75</f>
        <v>uint8_t</v>
      </c>
      <c r="H75" t="str">
        <f>LoRa_RxDone_OK!H75</f>
        <v>LoRa_radioBuffer[]</v>
      </c>
      <c r="I75" s="2" t="str">
        <f>LoRa_RxDone_OK!I75</f>
        <v>MAXIMUM_BUFFER_LENGTH</v>
      </c>
      <c r="J75">
        <f>LoRa_RxDone_OK!J75</f>
        <v>0</v>
      </c>
    </row>
    <row r="76" spans="3:10" x14ac:dyDescent="0.25">
      <c r="C76">
        <f>LoRa_RxDone_OK!C76</f>
        <v>0</v>
      </c>
      <c r="D76" s="2">
        <f>LoRa_RxDone_OK!D76</f>
        <v>0</v>
      </c>
      <c r="E76">
        <f>LoRa_RxDone_OK!E76</f>
        <v>0</v>
      </c>
      <c r="F76">
        <f>LoRa_RxDone_OK!F76</f>
        <v>0</v>
      </c>
      <c r="G76">
        <f>LoRa_RxDone_OK!G76</f>
        <v>0</v>
      </c>
      <c r="H76">
        <f>LoRa_RxDone_OK!H76</f>
        <v>0</v>
      </c>
      <c r="I76" s="2">
        <f>LoRa_RxDone_OK!I76</f>
        <v>0</v>
      </c>
      <c r="J76">
        <f>LoRa_RxDone_OK!J76</f>
        <v>0</v>
      </c>
    </row>
    <row r="77" spans="3:10" x14ac:dyDescent="0.25">
      <c r="C77">
        <f>LoRa_RxDone_OK!C77</f>
        <v>0</v>
      </c>
      <c r="D77" s="2">
        <f>LoRa_RxDone_OK!D77</f>
        <v>0</v>
      </c>
      <c r="E77">
        <f>LoRa_RxDone_OK!E77</f>
        <v>0</v>
      </c>
      <c r="F77">
        <f>LoRa_RxDone_OK!F77</f>
        <v>0</v>
      </c>
      <c r="G77">
        <f>LoRa_RxDone_OK!G77</f>
        <v>0</v>
      </c>
      <c r="H77">
        <f>LoRa_RxDone_OK!H77</f>
        <v>0</v>
      </c>
      <c r="I77" s="2">
        <f>LoRa_RxDone_OK!I77</f>
        <v>0</v>
      </c>
      <c r="J77">
        <f>LoRa_RxDone_OK!J77</f>
        <v>0</v>
      </c>
    </row>
  </sheetData>
  <hyperlinks>
    <hyperlink ref="C20" location="RADIO_RxDone_DATA!C1" display="RADIO_RxDone_DATA" xr:uid="{369B16DD-DC9A-4548-8763-20A359FBB6FE}"/>
    <hyperlink ref="C21" location="LoRa_TimerHandshakingCallback!C1" display="LoRa_TimerHandshaking_timeout" xr:uid="{A543E370-61F5-40F0-BA60-B9E932D3BEF4}"/>
    <hyperlink ref="C22" location="RADIO_WatchdogTimeout!C1" display="watchdogTimerId_timeout" xr:uid="{25022A16-003D-423F-ABC7-B66B6D3CD948}"/>
    <hyperlink ref="C23" location="timeOnAirTimerId!C1" display="timeOnAirTimerId" xr:uid="{CF3DF0A1-08A3-416B-8AAF-953F0C55F07C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Arkusz12.fill_in_LoRa_TxDone_DATA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5" name="Button 4">
              <controlPr defaultSize="0" print="0" autoFill="0" autoPict="0" macro="[0]!RADIO_TxDone_DATA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B8A4F-F405-4110-AC11-0FF696CD3E47}">
  <sheetPr codeName="Arkusz13"/>
  <dimension ref="B1:J77"/>
  <sheetViews>
    <sheetView showZeros="0" workbookViewId="0">
      <selection activeCell="I47" sqref="I47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6</v>
      </c>
      <c r="I1" s="2" t="s">
        <v>3</v>
      </c>
    </row>
    <row r="3" spans="2:10" x14ac:dyDescent="0.25">
      <c r="C3" t="str">
        <f>LoRa_TxDone_DATA!C3</f>
        <v>LoRa_transmitStatus</v>
      </c>
      <c r="D3" s="2" t="str">
        <f>I3</f>
        <v>LoRa_SendData_RX</v>
      </c>
      <c r="E3">
        <f>LoRa_TxDone_DATA!E3</f>
        <v>0</v>
      </c>
      <c r="F3">
        <f>LoRa_TxDone_DATA!F3</f>
        <v>0</v>
      </c>
      <c r="G3" t="str">
        <f>LoRa_TxDone_DATA!G3</f>
        <v>LoRaMacState_t</v>
      </c>
      <c r="H3" t="str">
        <f>LoRa_TxDone_DATA!H3</f>
        <v>LoRa_transmitStatus</v>
      </c>
      <c r="I3" s="2" t="str">
        <f>LoRa_TxDone_DATA!I3</f>
        <v>LoRa_SendData_RX</v>
      </c>
      <c r="J3">
        <f>LoRa_TxDone_DATA!J3</f>
        <v>0</v>
      </c>
    </row>
    <row r="4" spans="2:10" x14ac:dyDescent="0.25">
      <c r="C4" t="str">
        <f>LoRa_TxDone_DATA!C4</f>
        <v>LoRa_StatusDanych</v>
      </c>
      <c r="D4" s="2" t="str">
        <f>I4</f>
        <v>LoRa_transmiting</v>
      </c>
      <c r="E4">
        <f>LoRa_TxDone_DATA!E4</f>
        <v>0</v>
      </c>
      <c r="F4">
        <f>LoRa_TxDone_DATA!F4</f>
        <v>0</v>
      </c>
      <c r="G4" t="str">
        <f>LoRa_TxDone_DATA!G4</f>
        <v>LoRaStatus_t</v>
      </c>
      <c r="H4" t="str">
        <f>LoRa_TxDone_DATA!H4</f>
        <v>LoRa_StatusDanych</v>
      </c>
      <c r="I4" s="2" t="str">
        <f>LoRa_TxDone_DATA!I4</f>
        <v>LoRa_transmiting</v>
      </c>
      <c r="J4">
        <f>LoRa_TxDone_DATA!J4</f>
        <v>0</v>
      </c>
    </row>
    <row r="5" spans="2:10" x14ac:dyDescent="0.25">
      <c r="C5" t="str">
        <f>LoRa_TxDone_DATA!C5</f>
        <v>flags</v>
      </c>
      <c r="D5" s="2" t="str">
        <f>I47</f>
        <v>0</v>
      </c>
      <c r="E5">
        <f>LoRa_TxDone_DATA!E5</f>
        <v>0</v>
      </c>
      <c r="F5">
        <f>LoRa_TxDone_DATA!F5</f>
        <v>0</v>
      </c>
      <c r="G5" t="str">
        <f>LoRa_TxDone_DATA!G5</f>
        <v>bool</v>
      </c>
      <c r="H5" t="str">
        <f>LoRa_TxDone_DATA!H5</f>
        <v>LoRa_initialised</v>
      </c>
      <c r="I5" s="2" t="str">
        <f>LoRa_TxDone_DATA!I5</f>
        <v>ENABLED</v>
      </c>
      <c r="J5">
        <f>LoRa_TxDone_DATA!J5</f>
        <v>0</v>
      </c>
    </row>
    <row r="6" spans="2:10" x14ac:dyDescent="0.25">
      <c r="C6">
        <f>LoRa_TxDone_DATA!C6</f>
        <v>0</v>
      </c>
      <c r="D6" s="2">
        <f>LoRa_TxDone_DATA!D6</f>
        <v>0</v>
      </c>
      <c r="E6">
        <f>LoRa_TxDone_DATA!E6</f>
        <v>0</v>
      </c>
      <c r="F6">
        <f>LoRa_TxDone_DATA!F6</f>
        <v>0</v>
      </c>
      <c r="G6" t="str">
        <f>LoRa_TxDone_DATA!G6</f>
        <v>FCnt_t</v>
      </c>
      <c r="H6" t="str">
        <f>LoRa_TxDone_DATA!H6</f>
        <v>LoRa_Counter</v>
      </c>
      <c r="I6" s="2" t="str">
        <f>LoRa_TxDone_DATA!I6</f>
        <v>++</v>
      </c>
      <c r="J6">
        <f>LoRa_TxDone_DATA!J6</f>
        <v>0</v>
      </c>
    </row>
    <row r="7" spans="2:10" x14ac:dyDescent="0.25">
      <c r="C7" s="16"/>
      <c r="D7" s="25"/>
      <c r="E7" s="17"/>
      <c r="F7" s="18"/>
      <c r="G7" t="str">
        <f>LoRa_TxDone_DATA!G7</f>
        <v>uint8_t</v>
      </c>
      <c r="H7" t="str">
        <f>LoRa_TxDone_DATA!H7</f>
        <v>LoRa_Addres</v>
      </c>
      <c r="I7" s="2" t="str">
        <f>LoRa_TxDone_DATA!I7</f>
        <v>LoRaDeviceAddress</v>
      </c>
      <c r="J7">
        <f>LoRa_TxDone_DATA!J7</f>
        <v>0</v>
      </c>
    </row>
    <row r="8" spans="2:10" x14ac:dyDescent="0.25">
      <c r="C8" s="19"/>
      <c r="D8" s="26"/>
      <c r="E8" s="20"/>
      <c r="F8" s="21"/>
      <c r="G8" t="str">
        <f>LoRa_TxDone_DATA!G8</f>
        <v>uint8_t</v>
      </c>
      <c r="H8" t="str">
        <f>LoRa_TxDone_DATA!H8</f>
        <v>LoRa_TimerHandshaking</v>
      </c>
      <c r="I8" s="2" t="str">
        <f>LoRa_TxDone_DATA!I8</f>
        <v>0</v>
      </c>
      <c r="J8" t="str">
        <f>LoRa_TxDone_DATA!J8</f>
        <v>LoRa_TimerHandshakingCallback</v>
      </c>
    </row>
    <row r="9" spans="2:10" x14ac:dyDescent="0.25">
      <c r="B9" s="3"/>
      <c r="C9" s="19"/>
      <c r="D9" s="26"/>
      <c r="E9" s="20"/>
      <c r="F9" s="21"/>
      <c r="G9" t="str">
        <f>LoRa_TxDone_DATA!G9</f>
        <v>uint8_t</v>
      </c>
      <c r="H9" t="str">
        <f>LoRa_TxDone_DATA!H9</f>
        <v>LoRa_TimerRetransmit</v>
      </c>
      <c r="I9" s="2" t="str">
        <f>LoRa_TxDone_DATA!I9</f>
        <v>0</v>
      </c>
      <c r="J9" t="str">
        <f>LoRa_TxDone_DATA!J9</f>
        <v>LoRa_TimerRetransmitCallback</v>
      </c>
    </row>
    <row r="10" spans="2:10" x14ac:dyDescent="0.25">
      <c r="C10" s="19"/>
      <c r="D10" s="26"/>
      <c r="E10" s="20"/>
      <c r="F10" s="21"/>
      <c r="G10" t="str">
        <f>LoRa_TxDone_DATA!G10</f>
        <v>uint8_t</v>
      </c>
      <c r="H10" t="str">
        <f>LoRa_TxDone_DATA!H10</f>
        <v>LoRa_TimerWaitAck</v>
      </c>
      <c r="I10" s="2" t="str">
        <f>LoRa_TxDone_DATA!I10</f>
        <v>LoRa_Transmit_timeout</v>
      </c>
      <c r="J10" t="str">
        <f>LoRa_TxDone_DATA!J10</f>
        <v>LoRa_TimerWaitAckCallback</v>
      </c>
    </row>
    <row r="11" spans="2:10" x14ac:dyDescent="0.25">
      <c r="C11" s="19"/>
      <c r="D11" s="26"/>
      <c r="E11" s="20"/>
      <c r="F11" s="21"/>
      <c r="G11" t="str">
        <f>LoRa_TxDone_DATA!G11</f>
        <v>uint8_t</v>
      </c>
      <c r="H11" t="str">
        <f>LoRa_TxDone_DATA!H11</f>
        <v>LoRa_HeaderBufor</v>
      </c>
      <c r="I11" s="2" t="str">
        <f>LoRa_TxDone_DATA!I11</f>
        <v>LoRa_Addres, nxt_channel</v>
      </c>
      <c r="J11">
        <f>LoRa_TxDone_DATA!J11</f>
        <v>0</v>
      </c>
    </row>
    <row r="12" spans="2:10" x14ac:dyDescent="0.25">
      <c r="C12" s="19"/>
      <c r="D12" s="26"/>
      <c r="E12" s="20"/>
      <c r="F12" s="21"/>
      <c r="G12" t="str">
        <f>LoRa_TxDone_DATA!G12</f>
        <v>uint8_t</v>
      </c>
      <c r="H12" t="str">
        <f>LoRa_TxDone_DATA!H12</f>
        <v>LoRa_HeaderLength</v>
      </c>
      <c r="I12" s="2" t="str">
        <f>LoRa_TxDone_DATA!I12</f>
        <v>bufferHeadIndex</v>
      </c>
      <c r="J12">
        <f>LoRa_TxDone_DATA!J12</f>
        <v>0</v>
      </c>
    </row>
    <row r="13" spans="2:10" x14ac:dyDescent="0.25">
      <c r="C13" s="19"/>
      <c r="D13" s="26"/>
      <c r="E13" s="20"/>
      <c r="F13" s="21"/>
      <c r="G13" t="str">
        <f>LoRa_TxDone_DATA!G13</f>
        <v>uint8_t</v>
      </c>
      <c r="H13" t="str">
        <f>LoRa_TxDone_DATA!H13</f>
        <v>LoRa_Bufor</v>
      </c>
      <c r="I13" s="2" t="str">
        <f>LoRa_TxDone_DATA!I13</f>
        <v>bufferIndex, nxt_channel, data, CRC</v>
      </c>
      <c r="J13">
        <f>LoRa_TxDone_DATA!J13</f>
        <v>0</v>
      </c>
    </row>
    <row r="14" spans="2:10" x14ac:dyDescent="0.25">
      <c r="C14" s="19"/>
      <c r="D14" s="26"/>
      <c r="E14" s="20"/>
      <c r="F14" s="21"/>
      <c r="G14" t="str">
        <f>LoRa_TxDone_DATA!G14</f>
        <v>uint8_t</v>
      </c>
      <c r="H14" t="str">
        <f>LoRa_TxDone_DATA!H14</f>
        <v>LoRa_BuforLength</v>
      </c>
      <c r="I14" s="2" t="str">
        <f>LoRa_TxDone_DATA!I14</f>
        <v>bufferIndex</v>
      </c>
      <c r="J14">
        <f>LoRa_TxDone_DATA!J14</f>
        <v>0</v>
      </c>
    </row>
    <row r="15" spans="2:10" x14ac:dyDescent="0.25">
      <c r="C15" s="19"/>
      <c r="D15" s="26"/>
      <c r="E15" s="20"/>
      <c r="F15" s="21"/>
      <c r="G15" t="str">
        <f>LoRa_TxDone_DATA!G15</f>
        <v>uint8_t</v>
      </c>
      <c r="H15" t="str">
        <f>LoRa_TxDone_DATA!H15</f>
        <v>LoRa_Command</v>
      </c>
      <c r="I15" s="2" t="str">
        <f>LoRa_TxDone_DATA!I15</f>
        <v>buffer[1]</v>
      </c>
      <c r="J15">
        <f>LoRa_TxDone_DATA!J15</f>
        <v>0</v>
      </c>
    </row>
    <row r="16" spans="2:10" x14ac:dyDescent="0.25">
      <c r="C16" s="19"/>
      <c r="D16" s="26"/>
      <c r="E16" s="20"/>
      <c r="F16" s="21"/>
      <c r="G16" t="str">
        <f>LoRa_TxDone_DATA!G16</f>
        <v>uint8_t</v>
      </c>
      <c r="H16" t="str">
        <f>LoRa_TxDone_DATA!H16</f>
        <v>LoRa_maxChannels</v>
      </c>
      <c r="I16" s="2" t="str">
        <f>LoRa_TxDone_DATA!I16</f>
        <v>MAX_EU_SINGLE_BAND_CHANNELS</v>
      </c>
      <c r="J16">
        <f>LoRa_TxDone_DATA!J16</f>
        <v>0</v>
      </c>
    </row>
    <row r="17" spans="3:10" x14ac:dyDescent="0.25">
      <c r="C17" s="19"/>
      <c r="D17" s="26"/>
      <c r="E17" s="20"/>
      <c r="F17" s="21"/>
      <c r="G17" t="str">
        <f>LoRa_TxDone_DATA!G17</f>
        <v>uint8_t</v>
      </c>
      <c r="H17" t="str">
        <f>LoRa_TxDone_DATA!H17</f>
        <v>LoRa_lastUsedChannelIndex</v>
      </c>
      <c r="I17" s="2" t="str">
        <f>LoRa_TxDone_DATA!I17</f>
        <v>channelRx</v>
      </c>
      <c r="J17">
        <f>LoRa_TxDone_DATA!J17</f>
        <v>0</v>
      </c>
    </row>
    <row r="18" spans="3:10" x14ac:dyDescent="0.25">
      <c r="C18" s="19"/>
      <c r="D18" s="26"/>
      <c r="E18" s="20"/>
      <c r="F18" s="21"/>
      <c r="G18" t="str">
        <f>LoRa_TxDone_DATA!G18</f>
        <v>ReceiveWindowParameters_t</v>
      </c>
      <c r="H18" t="str">
        <f>LoRa_TxDone_DATA!H18</f>
        <v>LoRa_ch0_params.frequency</v>
      </c>
      <c r="I18" s="2" t="str">
        <f>LoRa_TxDone_DATA!I18</f>
        <v>LoRa_CH0_frequency</v>
      </c>
      <c r="J18">
        <f>LoRa_TxDone_DATA!J18</f>
        <v>0</v>
      </c>
    </row>
    <row r="19" spans="3:10" x14ac:dyDescent="0.25">
      <c r="C19" s="19"/>
      <c r="D19" s="26"/>
      <c r="E19" s="20"/>
      <c r="F19" s="21"/>
      <c r="G19">
        <f>LoRa_TxDone_DATA!G19</f>
        <v>0</v>
      </c>
      <c r="H19" t="str">
        <f>LoRa_TxDone_DATA!H19</f>
        <v>LoRa_ch0_params.datarate</v>
      </c>
      <c r="I19" s="2" t="str">
        <f>LoRa_TxDone_DATA!I19</f>
        <v>LoRa_CH0_datarate</v>
      </c>
      <c r="J19">
        <f>LoRa_TxDone_DATA!J19</f>
        <v>0</v>
      </c>
    </row>
    <row r="20" spans="3:10" x14ac:dyDescent="0.25">
      <c r="C20" s="19"/>
      <c r="D20" s="26"/>
      <c r="E20" s="20"/>
      <c r="F20" s="21"/>
      <c r="G20" t="str">
        <f>LoRa_TxDone_DATA!G20</f>
        <v>ReceiveWindowParameters_t</v>
      </c>
      <c r="H20" t="str">
        <f>LoRa_TxDone_DATA!H20</f>
        <v>LoRa_receiveChannelParameters.frequency</v>
      </c>
      <c r="I20" s="2" t="str">
        <f>LoRa_TxDone_DATA!I20</f>
        <v>LoRa_Channels[channelRxIndex].frequency</v>
      </c>
      <c r="J20">
        <f>LoRa_TxDone_DATA!J20</f>
        <v>0</v>
      </c>
    </row>
    <row r="21" spans="3:10" x14ac:dyDescent="0.25">
      <c r="C21" s="19"/>
      <c r="D21" s="26"/>
      <c r="E21" s="20"/>
      <c r="F21" s="21"/>
      <c r="G21">
        <f>LoRa_TxDone_DATA!G21</f>
        <v>0</v>
      </c>
      <c r="H21" t="str">
        <f>LoRa_TxDone_DATA!H21</f>
        <v>LoRa_receiveChannelParameters.dataRate</v>
      </c>
      <c r="I21" s="2" t="str">
        <f>LoRa_TxDone_DATA!I21</f>
        <v>LoRa_currentDataRate</v>
      </c>
      <c r="J21">
        <f>LoRa_TxDone_DATA!J21</f>
        <v>0</v>
      </c>
    </row>
    <row r="22" spans="3:10" x14ac:dyDescent="0.25">
      <c r="C22" s="19"/>
      <c r="D22" s="26"/>
      <c r="E22" s="20"/>
      <c r="F22" s="21"/>
      <c r="G22" t="str">
        <f>LoRa_TxDone_DATA!G22</f>
        <v>ReceiveWindowParameters_t</v>
      </c>
      <c r="H22" t="str">
        <f>LoRa_TxDone_DATA!H22</f>
        <v>LoRa_sendChannelParameters.frequency</v>
      </c>
      <c r="I22" s="2" t="str">
        <f>LoRa_TxDone_DATA!I22</f>
        <v>LoRa_Channels[channelRxIndex].frequency</v>
      </c>
      <c r="J22">
        <f>LoRa_TxDone_DATA!J22</f>
        <v>0</v>
      </c>
    </row>
    <row r="23" spans="3:10" x14ac:dyDescent="0.25">
      <c r="C23" s="19"/>
      <c r="D23" s="26"/>
      <c r="E23" s="20"/>
      <c r="F23" s="21"/>
      <c r="G23">
        <f>LoRa_TxDone_DATA!G23</f>
        <v>0</v>
      </c>
      <c r="H23" t="str">
        <f>LoRa_TxDone_DATA!H23</f>
        <v>LoRa_sendChannelParameters.dataRate</v>
      </c>
      <c r="I23" s="2" t="str">
        <f>LoRa_TxDone_DATA!I23</f>
        <v>LoRa_currentDataRate</v>
      </c>
      <c r="J23">
        <f>LoRa_TxDone_DATA!J23</f>
        <v>0</v>
      </c>
    </row>
    <row r="24" spans="3:10" x14ac:dyDescent="0.25">
      <c r="C24" s="22"/>
      <c r="D24" s="27"/>
      <c r="E24" s="23"/>
      <c r="F24" s="24"/>
      <c r="G24" t="str">
        <f>LoRa_TxDone_DATA!G24</f>
        <v>uint8_t</v>
      </c>
      <c r="H24" t="str">
        <f>LoRa_TxDone_DATA!H24</f>
        <v>LoRa_txPower</v>
      </c>
      <c r="I24" s="2">
        <f>LoRa_TxDone_DATA!I24</f>
        <v>1</v>
      </c>
      <c r="J24">
        <f>LoRa_TxDone_DATA!J24</f>
        <v>0</v>
      </c>
    </row>
    <row r="25" spans="3:10" x14ac:dyDescent="0.25">
      <c r="C25" t="str">
        <f>LoRa_TxDone_DATA!C25</f>
        <v>DATA</v>
      </c>
      <c r="D25" s="2" t="str">
        <f>LoRa_TxDone_DATA!D25</f>
        <v>LoRa_Addres, nxt_channel</v>
      </c>
      <c r="E25">
        <f>LoRa_TxDone_DATA!E25</f>
        <v>0</v>
      </c>
      <c r="F25">
        <f>LoRa_TxDone_DATA!F25</f>
        <v>0</v>
      </c>
      <c r="G25" t="str">
        <f>LoRa_TxDone_DATA!G25</f>
        <v>uint8_t</v>
      </c>
      <c r="H25" t="str">
        <f>LoRa_TxDone_DATA!H25</f>
        <v>LoRa_syncWord</v>
      </c>
      <c r="I25" s="2" t="str">
        <f>LoRa_TxDone_DATA!I25</f>
        <v>0x34</v>
      </c>
      <c r="J25">
        <f>LoRa_TxDone_DATA!J25</f>
        <v>0</v>
      </c>
    </row>
    <row r="26" spans="3:10" x14ac:dyDescent="0.25">
      <c r="C26" t="str">
        <f>LoRa_TxDone_DATA!C26</f>
        <v>mode</v>
      </c>
      <c r="D26" s="2" t="str">
        <f>LoRa_TxDone_DATA!D26</f>
        <v>MODE_RXSINGLE</v>
      </c>
      <c r="E26">
        <f>LoRa_TxDone_DATA!E26</f>
        <v>0</v>
      </c>
      <c r="F26">
        <f>LoRa_TxDone_DATA!F26</f>
        <v>0</v>
      </c>
      <c r="G26" t="str">
        <f>LoRa_TxDone_DATA!G26</f>
        <v>uint8_t</v>
      </c>
      <c r="H26" t="str">
        <f>LoRa_TxDone_DATA!H26</f>
        <v>LoRa_batteryLevel</v>
      </c>
      <c r="I26" s="2" t="str">
        <f>LoRa_TxDone_DATA!I26</f>
        <v>BATTERY_LEVEL_INVALID</v>
      </c>
      <c r="J26">
        <f>LoRa_TxDone_DATA!J26</f>
        <v>0</v>
      </c>
    </row>
    <row r="27" spans="3:10" x14ac:dyDescent="0.25">
      <c r="C27" t="str">
        <f>LoRa_TxDone_DATA!C27</f>
        <v>modulation</v>
      </c>
      <c r="D27" s="2" t="str">
        <f>LoRa_TxDone_DATA!D27</f>
        <v>MODULATION_LORA</v>
      </c>
      <c r="E27">
        <f>LoRa_TxDone_DATA!E27</f>
        <v>0</v>
      </c>
      <c r="F27">
        <f>LoRa_TxDone_DATA!F27</f>
        <v>0</v>
      </c>
      <c r="G27" t="str">
        <f>LoRa_TxDone_DATA!G27</f>
        <v>IsmBand_t</v>
      </c>
      <c r="H27" t="str">
        <f>LoRa_TxDone_DATA!H27</f>
        <v>LoRa_ismBand</v>
      </c>
      <c r="I27" s="2" t="str">
        <f>LoRa_TxDone_DATA!I27</f>
        <v>ISM_EU868</v>
      </c>
      <c r="J27">
        <f>LoRa_TxDone_DATA!J27</f>
        <v>0</v>
      </c>
    </row>
    <row r="28" spans="3:10" x14ac:dyDescent="0.25">
      <c r="C28" t="str">
        <f>LoRa_TxDone_DATA!C28</f>
        <v>frequency</v>
      </c>
      <c r="D28" s="2" t="str">
        <f>LoRa_TxDone_DATA!D28</f>
        <v>LoRa_receiveChannelParameters.frequency</v>
      </c>
      <c r="E28">
        <f>LoRa_TxDone_DATA!E28</f>
        <v>0</v>
      </c>
      <c r="F28">
        <f>LoRa_TxDone_DATA!F28</f>
        <v>0</v>
      </c>
      <c r="G28" t="str">
        <f>LoRa_TxDone_DATA!G28</f>
        <v>uint8_t</v>
      </c>
      <c r="H28" t="str">
        <f>LoRa_TxDone_DATA!H28</f>
        <v>LoRa_currentDataRate</v>
      </c>
      <c r="I28" s="2" t="str">
        <f>LoRa_TxDone_DATA!I28</f>
        <v>DR0</v>
      </c>
      <c r="J28">
        <f>LoRa_TxDone_DATA!J28</f>
        <v>0</v>
      </c>
    </row>
    <row r="29" spans="3:10" x14ac:dyDescent="0.25">
      <c r="C29" t="str">
        <f>LoRa_TxDone_DATA!C29</f>
        <v>payload</v>
      </c>
      <c r="D29" s="2">
        <f>LoRa_TxDone_DATA!D29</f>
        <v>1</v>
      </c>
      <c r="E29">
        <f>LoRa_TxDone_DATA!E29</f>
        <v>0</v>
      </c>
      <c r="F29">
        <f>LoRa_TxDone_DATA!F29</f>
        <v>0</v>
      </c>
      <c r="G29" t="str">
        <f>LoRa_TxDone_DATA!G29</f>
        <v>uint8_t</v>
      </c>
      <c r="H29" t="str">
        <f>LoRa_TxDone_DATA!H29</f>
        <v>LoRa_minDataRate</v>
      </c>
      <c r="I29" s="2" t="str">
        <f>LoRa_TxDone_DATA!I29</f>
        <v>DR0</v>
      </c>
      <c r="J29">
        <f>LoRa_TxDone_DATA!J29</f>
        <v>0</v>
      </c>
    </row>
    <row r="30" spans="3:10" x14ac:dyDescent="0.25">
      <c r="C30" t="str">
        <f>LoRa_TxDone_DATA!C30</f>
        <v>power</v>
      </c>
      <c r="D30" s="2" t="str">
        <f>LoRa_TxDone_DATA!D30</f>
        <v>txPower868[LoRa_txPower]</v>
      </c>
      <c r="E30">
        <f>LoRa_TxDone_DATA!E30</f>
        <v>0</v>
      </c>
      <c r="F30">
        <f>LoRa_TxDone_DATA!F30</f>
        <v>0</v>
      </c>
      <c r="G30" t="str">
        <f>LoRa_TxDone_DATA!G30</f>
        <v>uint8_t</v>
      </c>
      <c r="H30" t="str">
        <f>LoRa_TxDone_DATA!H30</f>
        <v>LoRa_maxDataRate</v>
      </c>
      <c r="I30" s="2" t="str">
        <f>LoRa_TxDone_DATA!I30</f>
        <v>DR7</v>
      </c>
      <c r="J30">
        <f>LoRa_TxDone_DATA!J30</f>
        <v>0</v>
      </c>
    </row>
    <row r="31" spans="3:10" x14ac:dyDescent="0.25">
      <c r="C31" t="str">
        <f>LoRa_TxDone_DATA!C31</f>
        <v>SpreadingFactor</v>
      </c>
      <c r="D31" s="2" t="str">
        <f>LoRa_TxDone_DATA!D31</f>
        <v>spreadingFactor[LoRa_receiveChannelParameters.dataRate]</v>
      </c>
      <c r="E31">
        <f>LoRa_TxDone_DATA!E31</f>
        <v>0</v>
      </c>
      <c r="F31">
        <f>LoRa_TxDone_DATA!F31</f>
        <v>0</v>
      </c>
      <c r="G31" t="str">
        <f>LoRa_TxDone_DATA!G31</f>
        <v>uint8_t</v>
      </c>
      <c r="H31" t="str">
        <f>LoRa_TxDone_DATA!H31</f>
        <v>LoRa_nextUsedChannel</v>
      </c>
      <c r="I31" s="2">
        <f>LoRa_TxDone_DATA!I31</f>
        <v>0</v>
      </c>
      <c r="J31">
        <f>LoRa_TxDone_DATA!J31</f>
        <v>0</v>
      </c>
    </row>
    <row r="32" spans="3:10" x14ac:dyDescent="0.25">
      <c r="C32" t="str">
        <f>LoRa_TxDone_DATA!C32</f>
        <v>Bandwidth</v>
      </c>
      <c r="D32" s="2" t="str">
        <f>LoRa_TxDone_DATA!D32</f>
        <v>bandwidth[LoRa_receiveChannelParameters.dataRate]</v>
      </c>
      <c r="E32">
        <f>LoRa_TxDone_DATA!E32</f>
        <v>0</v>
      </c>
      <c r="F32">
        <f>LoRa_TxDone_DATA!F32</f>
        <v>0</v>
      </c>
      <c r="G32">
        <f>LoRa_TxDone_DATA!G32</f>
        <v>0</v>
      </c>
      <c r="H32">
        <f>LoRa_TxDone_DATA!H32</f>
        <v>0</v>
      </c>
      <c r="I32" s="2">
        <f>LoRa_TxDone_DATA!I32</f>
        <v>0</v>
      </c>
      <c r="J32">
        <f>LoRa_TxDone_DATA!J32</f>
        <v>0</v>
      </c>
    </row>
    <row r="33" spans="3:10" x14ac:dyDescent="0.25">
      <c r="C33" t="str">
        <f>LoRa_TxDone_DATA!C33</f>
        <v>SyncWord</v>
      </c>
      <c r="D33" s="2" t="str">
        <f>LoRa_TxDone_DATA!D33</f>
        <v>LoRa_syncWord</v>
      </c>
      <c r="E33">
        <f>LoRa_TxDone_DATA!E33</f>
        <v>0</v>
      </c>
      <c r="F33">
        <f>LoRa_TxDone_DATA!F33</f>
        <v>0</v>
      </c>
      <c r="G33">
        <f>LoRa_TxDone_DATA!G33</f>
        <v>0</v>
      </c>
      <c r="H33">
        <f>LoRa_TxDone_DATA!H33</f>
        <v>0</v>
      </c>
      <c r="I33" s="2">
        <f>LoRa_TxDone_DATA!I33</f>
        <v>0</v>
      </c>
      <c r="J33">
        <f>LoRa_TxDone_DATA!J33</f>
        <v>0</v>
      </c>
    </row>
    <row r="34" spans="3:10" x14ac:dyDescent="0.25">
      <c r="C34" t="str">
        <f>LoRa_TxDone_DATA!C34</f>
        <v>CRC</v>
      </c>
      <c r="D34" s="2" t="str">
        <f>LoRa_TxDone_DATA!D34</f>
        <v>DISABLED</v>
      </c>
      <c r="E34">
        <f>LoRa_TxDone_DATA!E34</f>
        <v>0</v>
      </c>
      <c r="F34">
        <f>LoRa_TxDone_DATA!F34</f>
        <v>0</v>
      </c>
      <c r="G34" t="str">
        <f>LoRa_TxDone_DATA!G34</f>
        <v>uint32_t</v>
      </c>
      <c r="H34" t="str">
        <f>LoRa_TxDone_DATA!H34</f>
        <v>frequency</v>
      </c>
      <c r="I34" s="2" t="str">
        <f>LoRa_TxDone_DATA!I34</f>
        <v>LoRa_receiveChannelParameters.frequency</v>
      </c>
      <c r="J34">
        <f>LoRa_TxDone_DATA!J34</f>
        <v>0</v>
      </c>
    </row>
    <row r="35" spans="3:10" x14ac:dyDescent="0.25">
      <c r="C35" t="str">
        <f>LoRa_TxDone_DATA!C35</f>
        <v>IQInverted</v>
      </c>
      <c r="D35" s="2" t="str">
        <f>LoRa_TxDone_DATA!D35</f>
        <v>ENABLED</v>
      </c>
      <c r="E35">
        <f>LoRa_TxDone_DATA!E35</f>
        <v>0</v>
      </c>
      <c r="F35">
        <f>LoRa_TxDone_DATA!F35</f>
        <v>0</v>
      </c>
      <c r="G35" t="str">
        <f>LoRa_TxDone_DATA!G35</f>
        <v>uint32_t</v>
      </c>
      <c r="H35" t="str">
        <f>LoRa_TxDone_DATA!H35</f>
        <v>frequencyDeviation</v>
      </c>
      <c r="I35" s="2">
        <f>LoRa_TxDone_DATA!I35</f>
        <v>25000</v>
      </c>
      <c r="J35">
        <f>LoRa_TxDone_DATA!J35</f>
        <v>0</v>
      </c>
    </row>
    <row r="36" spans="3:10" x14ac:dyDescent="0.25">
      <c r="C36" t="str">
        <f>LoRa_TxDone_DATA!C36</f>
        <v>HopPeriod</v>
      </c>
      <c r="D36" s="2" t="str">
        <f>LoRa_TxDone_DATA!D36</f>
        <v>DISABLED</v>
      </c>
      <c r="E36">
        <f>LoRa_TxDone_DATA!E36</f>
        <v>0</v>
      </c>
      <c r="F36">
        <f>LoRa_TxDone_DATA!F36</f>
        <v>0</v>
      </c>
      <c r="G36" t="str">
        <f>LoRa_TxDone_DATA!G36</f>
        <v>uint32_t</v>
      </c>
      <c r="H36" t="str">
        <f>LoRa_TxDone_DATA!H36</f>
        <v>bitRate</v>
      </c>
      <c r="I36" s="2">
        <f>LoRa_TxDone_DATA!I36</f>
        <v>50000</v>
      </c>
      <c r="J36">
        <f>LoRa_TxDone_DATA!J36</f>
        <v>0</v>
      </c>
    </row>
    <row r="37" spans="3:10" x14ac:dyDescent="0.25">
      <c r="C37" t="str">
        <f>LoRa_TxDone_DATA!C37</f>
        <v>errorCodingRate</v>
      </c>
      <c r="D37" s="2" t="str">
        <f>LoRa_TxDone_DATA!D37</f>
        <v>CR_4_5</v>
      </c>
      <c r="E37">
        <f>LoRa_TxDone_DATA!E37</f>
        <v>0</v>
      </c>
      <c r="F37">
        <f>LoRa_TxDone_DATA!F37</f>
        <v>0</v>
      </c>
      <c r="G37" t="str">
        <f>LoRa_TxDone_DATA!G37</f>
        <v>uint16_t</v>
      </c>
      <c r="H37" t="str">
        <f>LoRa_TxDone_DATA!H37</f>
        <v>preambleLen</v>
      </c>
      <c r="I37" s="2">
        <f>LoRa_TxDone_DATA!I37</f>
        <v>8</v>
      </c>
      <c r="J37">
        <f>LoRa_TxDone_DATA!J37</f>
        <v>0</v>
      </c>
    </row>
    <row r="38" spans="3:10" x14ac:dyDescent="0.25">
      <c r="C38" t="str">
        <f>LoRa_TxDone_DATA!C38</f>
        <v>implicitHeaderMode</v>
      </c>
      <c r="D38" s="2" t="str">
        <f>LoRa_TxDone_DATA!D38</f>
        <v>0</v>
      </c>
      <c r="E38">
        <f>LoRa_TxDone_DATA!E38</f>
        <v>0</v>
      </c>
      <c r="F38">
        <f>LoRa_TxDone_DATA!F38</f>
        <v>0</v>
      </c>
      <c r="G38" t="str">
        <f>LoRa_TxDone_DATA!G38</f>
        <v>uint8_t</v>
      </c>
      <c r="H38" t="str">
        <f>LoRa_TxDone_DATA!H38</f>
        <v>syncWordLoRa</v>
      </c>
      <c r="I38" s="2" t="str">
        <f>LoRa_TxDone_DATA!I38</f>
        <v>LoRa_syncWord</v>
      </c>
      <c r="J38">
        <f>LoRa_TxDone_DATA!J38</f>
        <v>0</v>
      </c>
    </row>
    <row r="39" spans="3:10" x14ac:dyDescent="0.25">
      <c r="C39" t="str">
        <f>LoRa_TxDone_DATA!C39</f>
        <v>preambleLen</v>
      </c>
      <c r="D39" s="2">
        <f>LoRa_TxDone_DATA!D39</f>
        <v>8</v>
      </c>
      <c r="E39">
        <f>LoRa_TxDone_DATA!E39</f>
        <v>0</v>
      </c>
      <c r="F39">
        <f>LoRa_TxDone_DATA!F39</f>
        <v>0</v>
      </c>
      <c r="G39" t="str">
        <f>LoRa_TxDone_DATA!G39</f>
        <v>uint8_t</v>
      </c>
      <c r="H39" t="str">
        <f>LoRa_TxDone_DATA!H39</f>
        <v>syncWord</v>
      </c>
      <c r="I39" s="2" t="str">
        <f>LoRa_TxDone_DATA!I39</f>
        <v>0xc1 0x94 0xc1</v>
      </c>
      <c r="J39">
        <f>LoRa_TxDone_DATA!J39</f>
        <v>0</v>
      </c>
    </row>
    <row r="40" spans="3:10" x14ac:dyDescent="0.25">
      <c r="C40" t="str">
        <f>LoRa_TxDone_DATA!C40</f>
        <v>symbolTimeout</v>
      </c>
      <c r="D40" s="2">
        <f>LoRa_TxDone_DATA!D40</f>
        <v>4</v>
      </c>
      <c r="E40">
        <f>LoRa_TxDone_DATA!E40</f>
        <v>0</v>
      </c>
      <c r="F40">
        <f>LoRa_TxDone_DATA!F40</f>
        <v>0</v>
      </c>
      <c r="G40" t="str">
        <f>LoRa_TxDone_DATA!G40</f>
        <v>uint8_t</v>
      </c>
      <c r="H40" t="str">
        <f>LoRa_TxDone_DATA!H40</f>
        <v>syncWordLen</v>
      </c>
      <c r="I40" s="2">
        <f>LoRa_TxDone_DATA!I40</f>
        <v>3</v>
      </c>
      <c r="J40">
        <f>LoRa_TxDone_DATA!J40</f>
        <v>0</v>
      </c>
    </row>
    <row r="41" spans="3:10" x14ac:dyDescent="0.25">
      <c r="C41" t="str">
        <f>LoRa_TxDone_DATA!C41</f>
        <v>FSKfreqDeviation</v>
      </c>
      <c r="D41" s="2">
        <f>LoRa_TxDone_DATA!D41</f>
        <v>25000</v>
      </c>
      <c r="E41">
        <f>LoRa_TxDone_DATA!E41</f>
        <v>0</v>
      </c>
      <c r="F41">
        <f>LoRa_TxDone_DATA!F41</f>
        <v>0</v>
      </c>
      <c r="G41" t="str">
        <f>LoRa_TxDone_DATA!G41</f>
        <v>RadioModulation_t</v>
      </c>
      <c r="H41" t="str">
        <f>LoRa_TxDone_DATA!H41</f>
        <v>modulation</v>
      </c>
      <c r="I41" s="2" t="str">
        <f>LoRa_TxDone_DATA!I41</f>
        <v>modulation[LoRa_receiveChannelParameters.dataRate]</v>
      </c>
      <c r="J41">
        <f>LoRa_TxDone_DATA!J41</f>
        <v>0</v>
      </c>
    </row>
    <row r="42" spans="3:10" x14ac:dyDescent="0.25">
      <c r="C42" t="str">
        <f>LoRa_TxDone_DATA!C42</f>
        <v>FSKBitRate</v>
      </c>
      <c r="D42" s="2">
        <f>LoRa_TxDone_DATA!D42</f>
        <v>50000</v>
      </c>
      <c r="E42">
        <f>LoRa_TxDone_DATA!E42</f>
        <v>0</v>
      </c>
      <c r="F42">
        <f>LoRa_TxDone_DATA!F42</f>
        <v>0</v>
      </c>
      <c r="G42" t="str">
        <f>LoRa_TxDone_DATA!G42</f>
        <v>RadioDataRate_t</v>
      </c>
      <c r="H42" t="str">
        <f>LoRa_TxDone_DATA!H42</f>
        <v>dataRate</v>
      </c>
      <c r="I42" s="2" t="str">
        <f>LoRa_TxDone_DATA!I42</f>
        <v>spreadingFactor[LoRa_receiveChannelParameters.dataRate]</v>
      </c>
      <c r="J42">
        <f>LoRa_TxDone_DATA!J42</f>
        <v>0</v>
      </c>
    </row>
    <row r="43" spans="3:10" x14ac:dyDescent="0.25">
      <c r="C43" t="str">
        <f>LoRa_TxDone_DATA!C43</f>
        <v>FSK_PREAMBLE</v>
      </c>
      <c r="D43" s="2">
        <f>LoRa_TxDone_DATA!D43</f>
        <v>8</v>
      </c>
      <c r="E43">
        <f>LoRa_TxDone_DATA!E43</f>
        <v>0</v>
      </c>
      <c r="F43">
        <f>LoRa_TxDone_DATA!F43</f>
        <v>0</v>
      </c>
      <c r="G43" t="str">
        <f>LoRa_TxDone_DATA!G43</f>
        <v>RadioLoRaBandWidth_t</v>
      </c>
      <c r="H43" t="str">
        <f>LoRa_TxDone_DATA!H43</f>
        <v>bandWidth</v>
      </c>
      <c r="I43" s="2" t="str">
        <f>LoRa_TxDone_DATA!I43</f>
        <v>bandwidth[LoRa_receiveChannelParameters.dataRate]</v>
      </c>
      <c r="J43">
        <f>LoRa_TxDone_DATA!J43</f>
        <v>0</v>
      </c>
    </row>
    <row r="44" spans="3:10" x14ac:dyDescent="0.25">
      <c r="C44" t="str">
        <f>LoRa_TxDone_DATA!C44</f>
        <v>fskDataShaping</v>
      </c>
      <c r="D44" s="2" t="str">
        <f>LoRa_TxDone_DATA!D44</f>
        <v>FSK_SHAPING_GAUSS_BT_0_5</v>
      </c>
      <c r="E44">
        <f>LoRa_TxDone_DATA!E44</f>
        <v>0</v>
      </c>
      <c r="F44">
        <f>LoRa_TxDone_DATA!F44</f>
        <v>0</v>
      </c>
      <c r="G44" t="str">
        <f>LoRa_TxDone_DATA!G44</f>
        <v>int8_t</v>
      </c>
      <c r="H44" t="str">
        <f>LoRa_TxDone_DATA!H44</f>
        <v>outputPower</v>
      </c>
      <c r="I44" s="2" t="str">
        <f>LoRa_TxDone_DATA!I44</f>
        <v>txPower868[LoRa_txPower]</v>
      </c>
      <c r="J44">
        <f>LoRa_TxDone_DATA!J44</f>
        <v>0</v>
      </c>
    </row>
    <row r="45" spans="3:10" x14ac:dyDescent="0.25">
      <c r="C45">
        <f>LoRa_TxDone_DATA!C45</f>
        <v>0</v>
      </c>
      <c r="D45" s="2">
        <f>LoRa_TxDone_DATA!D45</f>
        <v>0</v>
      </c>
      <c r="E45">
        <f>LoRa_TxDone_DATA!E45</f>
        <v>0</v>
      </c>
      <c r="F45">
        <f>LoRa_TxDone_DATA!F45</f>
        <v>0</v>
      </c>
      <c r="G45" t="str">
        <f>LoRa_TxDone_DATA!G45</f>
        <v>uint8_t</v>
      </c>
      <c r="H45" t="str">
        <f>LoRa_TxDone_DATA!H45</f>
        <v>crcOn</v>
      </c>
      <c r="I45" s="2" t="str">
        <f>LoRa_TxDone_DATA!I45</f>
        <v>DISABLED</v>
      </c>
      <c r="J45">
        <f>LoRa_TxDone_DATA!J45</f>
        <v>0</v>
      </c>
    </row>
    <row r="46" spans="3:10" x14ac:dyDescent="0.25">
      <c r="C46">
        <f>LoRa_TxDone_DATA!C46</f>
        <v>0</v>
      </c>
      <c r="D46" s="2">
        <f>LoRa_TxDone_DATA!D46</f>
        <v>0</v>
      </c>
      <c r="E46">
        <f>LoRa_TxDone_DATA!E46</f>
        <v>0</v>
      </c>
      <c r="F46">
        <f>LoRa_TxDone_DATA!F46</f>
        <v>0</v>
      </c>
      <c r="G46" t="str">
        <f>LoRa_TxDone_DATA!G46</f>
        <v>uint8_t</v>
      </c>
      <c r="H46" t="str">
        <f>LoRa_TxDone_DATA!H46</f>
        <v>paBoost</v>
      </c>
      <c r="I46" s="2" t="str">
        <f>LoRa_TxDone_DATA!I46</f>
        <v>0</v>
      </c>
      <c r="J46">
        <f>LoRa_TxDone_DATA!J46</f>
        <v>0</v>
      </c>
    </row>
    <row r="47" spans="3:10" x14ac:dyDescent="0.25">
      <c r="C47">
        <f>LoRa_TxDone_DATA!C47</f>
        <v>0</v>
      </c>
      <c r="D47" s="2">
        <f>LoRa_TxDone_DATA!D47</f>
        <v>0</v>
      </c>
      <c r="E47">
        <f>LoRa_TxDone_DATA!E47</f>
        <v>0</v>
      </c>
      <c r="F47">
        <f>LoRa_TxDone_DATA!F47</f>
        <v>0</v>
      </c>
      <c r="G47" t="str">
        <f>LoRa_TxDone_DATA!G47</f>
        <v>uint8_t</v>
      </c>
      <c r="H47" t="str">
        <f>LoRa_TxDone_DATA!H47</f>
        <v>flags</v>
      </c>
      <c r="I47" s="40" t="s">
        <v>66</v>
      </c>
      <c r="J47" s="68"/>
    </row>
    <row r="48" spans="3:10" x14ac:dyDescent="0.25">
      <c r="C48">
        <f>LoRa_TxDone_DATA!C48</f>
        <v>0</v>
      </c>
      <c r="D48" s="2">
        <f>LoRa_TxDone_DATA!D48</f>
        <v>0</v>
      </c>
      <c r="E48">
        <f>LoRa_TxDone_DATA!E48</f>
        <v>0</v>
      </c>
      <c r="F48">
        <f>LoRa_TxDone_DATA!F48</f>
        <v>0</v>
      </c>
      <c r="G48" t="str">
        <f>LoRa_TxDone_DATA!G48</f>
        <v>uint16_t</v>
      </c>
      <c r="H48" t="str">
        <f>LoRa_TxDone_DATA!H48</f>
        <v>frequencyHopPeriod</v>
      </c>
      <c r="I48" s="2" t="str">
        <f>LoRa_TxDone_DATA!I48</f>
        <v>DISABLED</v>
      </c>
      <c r="J48" s="68"/>
    </row>
    <row r="49" spans="3:10" x14ac:dyDescent="0.25">
      <c r="C49">
        <f>LoRa_TxDone_DATA!C49</f>
        <v>0</v>
      </c>
      <c r="D49" s="2">
        <f>LoRa_TxDone_DATA!D49</f>
        <v>0</v>
      </c>
      <c r="E49">
        <f>LoRa_TxDone_DATA!E49</f>
        <v>0</v>
      </c>
      <c r="F49">
        <f>LoRa_TxDone_DATA!F49</f>
        <v>0</v>
      </c>
      <c r="G49" t="str">
        <f>LoRa_TxDone_DATA!G49</f>
        <v>uint8_t</v>
      </c>
      <c r="H49" t="str">
        <f>LoRa_TxDone_DATA!H49</f>
        <v>iqInverted</v>
      </c>
      <c r="I49" s="2" t="str">
        <f>LoRa_TxDone_DATA!I49</f>
        <v>ENABLED</v>
      </c>
      <c r="J49" s="68"/>
    </row>
    <row r="50" spans="3:10" x14ac:dyDescent="0.25">
      <c r="C50">
        <f>LoRa_TxDone_DATA!C50</f>
        <v>0</v>
      </c>
      <c r="D50" s="2">
        <f>LoRa_TxDone_DATA!D50</f>
        <v>0</v>
      </c>
      <c r="E50">
        <f>LoRa_TxDone_DATA!E50</f>
        <v>0</v>
      </c>
      <c r="F50">
        <f>LoRa_TxDone_DATA!F50</f>
        <v>0</v>
      </c>
      <c r="G50" t="str">
        <f>LoRa_TxDone_DATA!G50</f>
        <v>RadioErrorCodingRate_t</v>
      </c>
      <c r="H50" t="str">
        <f>LoRa_TxDone_DATA!H50</f>
        <v>errorCodingRate</v>
      </c>
      <c r="I50" s="2" t="str">
        <f>LoRa_TxDone_DATA!I50</f>
        <v>CR_4_5</v>
      </c>
      <c r="J50" s="68"/>
    </row>
    <row r="51" spans="3:10" x14ac:dyDescent="0.25">
      <c r="C51">
        <f>LoRa_TxDone_DATA!C51</f>
        <v>0</v>
      </c>
      <c r="D51" s="2">
        <f>LoRa_TxDone_DATA!D51</f>
        <v>0</v>
      </c>
      <c r="E51">
        <f>LoRa_TxDone_DATA!E51</f>
        <v>0</v>
      </c>
      <c r="F51">
        <f>LoRa_TxDone_DATA!F51</f>
        <v>0</v>
      </c>
      <c r="G51" t="str">
        <f>LoRa_TxDone_DATA!G51</f>
        <v>uint8_t</v>
      </c>
      <c r="H51" t="str">
        <f>LoRa_TxDone_DATA!H51</f>
        <v>implicitHeaderMode</v>
      </c>
      <c r="I51" s="2" t="str">
        <f>LoRa_TxDone_DATA!I51</f>
        <v>0</v>
      </c>
      <c r="J51" s="68"/>
    </row>
    <row r="52" spans="3:10" x14ac:dyDescent="0.25">
      <c r="C52">
        <f>LoRa_TxDone_DATA!C52</f>
        <v>0</v>
      </c>
      <c r="D52" s="2">
        <f>LoRa_TxDone_DATA!D52</f>
        <v>0</v>
      </c>
      <c r="E52">
        <f>LoRa_TxDone_DATA!E52</f>
        <v>0</v>
      </c>
      <c r="F52">
        <f>LoRa_TxDone_DATA!F52</f>
        <v>0</v>
      </c>
      <c r="G52">
        <f>LoRa_TxDone_DATA!G52</f>
        <v>0</v>
      </c>
      <c r="H52">
        <f>LoRa_TxDone_DATA!H52</f>
        <v>0</v>
      </c>
      <c r="I52" s="2">
        <f>LoRa_TxDone_DATA!I52</f>
        <v>0</v>
      </c>
    </row>
    <row r="53" spans="3:10" x14ac:dyDescent="0.25">
      <c r="C53">
        <f>LoRa_TxDone_DATA!C53</f>
        <v>0</v>
      </c>
      <c r="D53" s="2">
        <f>LoRa_TxDone_DATA!D53</f>
        <v>0</v>
      </c>
      <c r="E53">
        <f>LoRa_TxDone_DATA!E53</f>
        <v>0</v>
      </c>
      <c r="F53">
        <f>LoRa_TxDone_DATA!F53</f>
        <v>0</v>
      </c>
      <c r="G53" t="str">
        <f>LoRa_TxDone_DATA!G53</f>
        <v>uint8_t</v>
      </c>
      <c r="H53" t="str">
        <f>LoRa_TxDone_DATA!H53</f>
        <v>dataBufferLen</v>
      </c>
      <c r="I53" s="2" t="str">
        <f>LoRa_TxDone_DATA!I53</f>
        <v>REG_LORA_RXNBBYTES</v>
      </c>
      <c r="J53">
        <f>LoRa_TxDone_DATA!J53</f>
        <v>0</v>
      </c>
    </row>
    <row r="54" spans="3:10" x14ac:dyDescent="0.25">
      <c r="C54">
        <f>LoRa_TxDone_DATA!C54</f>
        <v>0</v>
      </c>
      <c r="D54" s="2">
        <f>LoRa_TxDone_DATA!D54</f>
        <v>0</v>
      </c>
      <c r="E54">
        <f>LoRa_TxDone_DATA!E54</f>
        <v>0</v>
      </c>
      <c r="F54">
        <f>LoRa_TxDone_DATA!F54</f>
        <v>0</v>
      </c>
      <c r="G54" t="str">
        <f>LoRa_TxDone_DATA!G54</f>
        <v>uint8_t *</v>
      </c>
      <c r="H54" t="str">
        <f>LoRa_TxDone_DATA!H54</f>
        <v>dataBuffer</v>
      </c>
      <c r="I54" s="2" t="str">
        <f>LoRa_TxDone_DATA!I54</f>
        <v>dane</v>
      </c>
      <c r="J54">
        <f>LoRa_TxDone_DATA!J54</f>
        <v>0</v>
      </c>
    </row>
    <row r="55" spans="3:10" x14ac:dyDescent="0.25">
      <c r="C55">
        <f>LoRa_TxDone_DATA!C55</f>
        <v>0</v>
      </c>
      <c r="D55" s="2">
        <f>LoRa_TxDone_DATA!D55</f>
        <v>0</v>
      </c>
      <c r="E55">
        <f>LoRa_TxDone_DATA!E55</f>
        <v>0</v>
      </c>
      <c r="F55">
        <f>LoRa_TxDone_DATA!F55</f>
        <v>0</v>
      </c>
      <c r="G55" t="str">
        <f>LoRa_TxDone_DATA!G55</f>
        <v>uint8_t</v>
      </c>
      <c r="H55" t="str">
        <f>LoRa_TxDone_DATA!H55</f>
        <v>timeOnAirTimerId</v>
      </c>
      <c r="I55" s="2" t="str">
        <f>LoRa_TxDone_DATA!I55</f>
        <v>TIME_ON_AIR_LOAD_VALUE</v>
      </c>
      <c r="J55">
        <f>LoRa_TxDone_DATA!J55</f>
        <v>0</v>
      </c>
    </row>
    <row r="56" spans="3:10" x14ac:dyDescent="0.25">
      <c r="C56">
        <f>LoRa_TxDone_DATA!C56</f>
        <v>0</v>
      </c>
      <c r="D56" s="2">
        <f>LoRa_TxDone_DATA!D56</f>
        <v>0</v>
      </c>
      <c r="E56">
        <f>LoRa_TxDone_DATA!E56</f>
        <v>0</v>
      </c>
      <c r="F56">
        <f>LoRa_TxDone_DATA!F56</f>
        <v>0</v>
      </c>
      <c r="G56" t="str">
        <f>LoRa_TxDone_DATA!G56</f>
        <v>uint8_t</v>
      </c>
      <c r="H56" t="str">
        <f>LoRa_TxDone_DATA!H56</f>
        <v>fskRxWindowTimerId</v>
      </c>
      <c r="I56" s="2" t="str">
        <f>LoRa_TxDone_DATA!I56</f>
        <v>0</v>
      </c>
      <c r="J56" t="str">
        <f>LoRa_TxDone_DATA!J56</f>
        <v>RADIO_RxFSKTimeout</v>
      </c>
    </row>
    <row r="57" spans="3:10" x14ac:dyDescent="0.25">
      <c r="C57">
        <f>LoRa_TxDone_DATA!C57</f>
        <v>0</v>
      </c>
      <c r="D57" s="2">
        <f>LoRa_TxDone_DATA!D57</f>
        <v>0</v>
      </c>
      <c r="E57">
        <f>LoRa_TxDone_DATA!E57</f>
        <v>0</v>
      </c>
      <c r="F57">
        <f>LoRa_TxDone_DATA!F57</f>
        <v>0</v>
      </c>
      <c r="G57" t="str">
        <f>LoRa_TxDone_DATA!G57</f>
        <v>uint8_t</v>
      </c>
      <c r="H57" t="str">
        <f>LoRa_TxDone_DATA!H57</f>
        <v>watchdogTimerId</v>
      </c>
      <c r="I57" s="2" t="str">
        <f>LoRa_TxDone_DATA!I57</f>
        <v>WATCHDOG_DEFAULT_TIME</v>
      </c>
      <c r="J57" t="str">
        <f>LoRa_TxDone_DATA!J57</f>
        <v>RADIO_WatchdogTimeout</v>
      </c>
    </row>
    <row r="58" spans="3:10" x14ac:dyDescent="0.25">
      <c r="C58">
        <f>LoRa_TxDone_DATA!C58</f>
        <v>0</v>
      </c>
      <c r="D58" s="2">
        <f>LoRa_TxDone_DATA!D58</f>
        <v>0</v>
      </c>
      <c r="E58">
        <f>LoRa_TxDone_DATA!E58</f>
        <v>0</v>
      </c>
      <c r="F58">
        <f>LoRa_TxDone_DATA!F58</f>
        <v>0</v>
      </c>
      <c r="G58" t="str">
        <f>LoRa_TxDone_DATA!G58</f>
        <v>uint32_t</v>
      </c>
      <c r="H58" t="str">
        <f>LoRa_TxDone_DATA!H58</f>
        <v>watchdogTimerTimeout</v>
      </c>
      <c r="I58" s="2" t="str">
        <f>LoRa_TxDone_DATA!I58</f>
        <v>WATCHDOG_DEFAULT_TIME</v>
      </c>
      <c r="J58">
        <f>LoRa_TxDone_DATA!J58</f>
        <v>0</v>
      </c>
    </row>
    <row r="59" spans="3:10" x14ac:dyDescent="0.25">
      <c r="C59">
        <f>LoRa_TxDone_DATA!C59</f>
        <v>0</v>
      </c>
      <c r="D59" s="2">
        <f>LoRa_TxDone_DATA!D59</f>
        <v>0</v>
      </c>
      <c r="E59">
        <f>LoRa_TxDone_DATA!E59</f>
        <v>0</v>
      </c>
      <c r="F59">
        <f>LoRa_TxDone_DATA!F59</f>
        <v>0</v>
      </c>
      <c r="G59" t="str">
        <f>LoRa_TxDone_DATA!G59</f>
        <v>uint8_t</v>
      </c>
      <c r="H59" t="str">
        <f>LoRa_TxDone_DATA!H59</f>
        <v>initialized</v>
      </c>
      <c r="I59" s="2">
        <f>LoRa_TxDone_DATA!I59</f>
        <v>1</v>
      </c>
      <c r="J59">
        <f>LoRa_TxDone_DATA!J59</f>
        <v>0</v>
      </c>
    </row>
    <row r="60" spans="3:10" x14ac:dyDescent="0.25">
      <c r="C60">
        <f>LoRa_TxDone_DATA!C60</f>
        <v>0</v>
      </c>
      <c r="D60" s="2">
        <f>LoRa_TxDone_DATA!D60</f>
        <v>0</v>
      </c>
      <c r="E60">
        <f>LoRa_TxDone_DATA!E60</f>
        <v>0</v>
      </c>
      <c r="F60">
        <f>LoRa_TxDone_DATA!F60</f>
        <v>0</v>
      </c>
      <c r="G60" t="str">
        <f>LoRa_TxDone_DATA!G60</f>
        <v>uint32_t</v>
      </c>
      <c r="H60" t="str">
        <f>LoRa_TxDone_DATA!H60</f>
        <v>fhssNextFrequency</v>
      </c>
      <c r="I60" s="2" t="str">
        <f>LoRa_TxDone_DATA!I60</f>
        <v>NULL</v>
      </c>
      <c r="J60">
        <f>LoRa_TxDone_DATA!J60</f>
        <v>0</v>
      </c>
    </row>
    <row r="61" spans="3:10" x14ac:dyDescent="0.25">
      <c r="C61">
        <f>LoRa_TxDone_DATA!C61</f>
        <v>0</v>
      </c>
      <c r="D61" s="2">
        <f>LoRa_TxDone_DATA!D61</f>
        <v>0</v>
      </c>
      <c r="E61">
        <f>LoRa_TxDone_DATA!E61</f>
        <v>0</v>
      </c>
      <c r="F61">
        <f>LoRa_TxDone_DATA!F61</f>
        <v>0</v>
      </c>
      <c r="G61" t="str">
        <f>LoRa_TxDone_DATA!G61</f>
        <v>uint8_t</v>
      </c>
      <c r="H61" t="str">
        <f>LoRa_TxDone_DATA!H61</f>
        <v>regVersion</v>
      </c>
      <c r="I61" s="2" t="str">
        <f>LoRa_TxDone_DATA!I61</f>
        <v>REG_VERSION</v>
      </c>
      <c r="J61">
        <f>LoRa_TxDone_DATA!J61</f>
        <v>0</v>
      </c>
    </row>
    <row r="62" spans="3:10" x14ac:dyDescent="0.25">
      <c r="C62">
        <f>LoRa_TxDone_DATA!C62</f>
        <v>0</v>
      </c>
      <c r="D62" s="2">
        <f>LoRa_TxDone_DATA!D62</f>
        <v>0</v>
      </c>
      <c r="E62">
        <f>LoRa_TxDone_DATA!E62</f>
        <v>0</v>
      </c>
      <c r="F62">
        <f>LoRa_TxDone_DATA!F62</f>
        <v>0</v>
      </c>
      <c r="G62" t="str">
        <f>LoRa_TxDone_DATA!G62</f>
        <v>int8_t</v>
      </c>
      <c r="H62" t="str">
        <f>LoRa_TxDone_DATA!H62</f>
        <v>packetSNR</v>
      </c>
      <c r="I62" s="2" t="str">
        <f>LoRa_TxDone_DATA!I62</f>
        <v>packetSNR</v>
      </c>
      <c r="J62">
        <f>LoRa_TxDone_DATA!J62</f>
        <v>0</v>
      </c>
    </row>
    <row r="63" spans="3:10" x14ac:dyDescent="0.25">
      <c r="C63">
        <f>LoRa_TxDone_DATA!C63</f>
        <v>0</v>
      </c>
      <c r="D63" s="2">
        <f>LoRa_TxDone_DATA!D63</f>
        <v>0</v>
      </c>
      <c r="E63">
        <f>LoRa_TxDone_DATA!E63</f>
        <v>0</v>
      </c>
      <c r="F63">
        <f>LoRa_TxDone_DATA!F63</f>
        <v>0</v>
      </c>
      <c r="G63" t="str">
        <f>LoRa_TxDone_DATA!G63</f>
        <v>RadioFSKShaping_t</v>
      </c>
      <c r="H63" t="str">
        <f>LoRa_TxDone_DATA!H63</f>
        <v>fskDataShaping</v>
      </c>
      <c r="I63" s="2" t="str">
        <f>LoRa_TxDone_DATA!I63</f>
        <v>FSK_SHAPING_GAUSS_BT_0_5</v>
      </c>
      <c r="J63">
        <f>LoRa_TxDone_DATA!J63</f>
        <v>0</v>
      </c>
    </row>
    <row r="64" spans="3:10" x14ac:dyDescent="0.25">
      <c r="C64">
        <f>LoRa_TxDone_DATA!C64</f>
        <v>0</v>
      </c>
      <c r="D64" s="2">
        <f>LoRa_TxDone_DATA!D64</f>
        <v>0</v>
      </c>
      <c r="E64">
        <f>LoRa_TxDone_DATA!E64</f>
        <v>0</v>
      </c>
      <c r="F64">
        <f>LoRa_TxDone_DATA!F64</f>
        <v>0</v>
      </c>
      <c r="G64" t="str">
        <f>LoRa_TxDone_DATA!G64</f>
        <v>RadioFSKBandWidth_t</v>
      </c>
      <c r="H64" t="str">
        <f>LoRa_TxDone_DATA!H64</f>
        <v>rxBw</v>
      </c>
      <c r="I64" s="2" t="str">
        <f>LoRa_TxDone_DATA!I64</f>
        <v>FSKBW_50_0KHZ</v>
      </c>
      <c r="J64">
        <f>LoRa_TxDone_DATA!J64</f>
        <v>0</v>
      </c>
    </row>
    <row r="65" spans="3:10" x14ac:dyDescent="0.25">
      <c r="C65">
        <f>LoRa_TxDone_DATA!C65</f>
        <v>0</v>
      </c>
      <c r="D65" s="2">
        <f>LoRa_TxDone_DATA!D65</f>
        <v>0</v>
      </c>
      <c r="E65">
        <f>LoRa_TxDone_DATA!E65</f>
        <v>0</v>
      </c>
      <c r="F65">
        <f>LoRa_TxDone_DATA!F65</f>
        <v>0</v>
      </c>
      <c r="G65" t="str">
        <f>LoRa_TxDone_DATA!G65</f>
        <v>RadioFSKBandWidth_t</v>
      </c>
      <c r="H65" t="str">
        <f>LoRa_TxDone_DATA!H65</f>
        <v>afcBw</v>
      </c>
      <c r="I65" s="2" t="str">
        <f>LoRa_TxDone_DATA!I65</f>
        <v>FSKBW_83_3KHZ</v>
      </c>
      <c r="J65">
        <f>LoRa_TxDone_DATA!J65</f>
        <v>0</v>
      </c>
    </row>
    <row r="66" spans="3:10" x14ac:dyDescent="0.25">
      <c r="C66">
        <f>LoRa_TxDone_DATA!C66</f>
        <v>0</v>
      </c>
      <c r="D66" s="2">
        <f>LoRa_TxDone_DATA!D66</f>
        <v>0</v>
      </c>
      <c r="E66">
        <f>LoRa_TxDone_DATA!E66</f>
        <v>0</v>
      </c>
      <c r="F66">
        <f>LoRa_TxDone_DATA!F66</f>
        <v>0</v>
      </c>
      <c r="G66">
        <f>LoRa_TxDone_DATA!G66</f>
        <v>0</v>
      </c>
      <c r="H66">
        <f>LoRa_TxDone_DATA!H66</f>
        <v>0</v>
      </c>
      <c r="I66" s="2">
        <f>LoRa_TxDone_DATA!I66</f>
        <v>0</v>
      </c>
      <c r="J66">
        <f>LoRa_TxDone_DATA!J66</f>
        <v>0</v>
      </c>
    </row>
    <row r="67" spans="3:10" x14ac:dyDescent="0.25">
      <c r="C67">
        <f>LoRa_TxDone_DATA!C67</f>
        <v>0</v>
      </c>
      <c r="D67" s="2">
        <f>LoRa_TxDone_DATA!D67</f>
        <v>0</v>
      </c>
      <c r="E67">
        <f>LoRa_TxDone_DATA!E67</f>
        <v>0</v>
      </c>
      <c r="F67">
        <f>LoRa_TxDone_DATA!F67</f>
        <v>0</v>
      </c>
      <c r="G67">
        <f>LoRa_TxDone_DATA!G67</f>
        <v>0</v>
      </c>
      <c r="H67">
        <f>LoRa_TxDone_DATA!H67</f>
        <v>0</v>
      </c>
      <c r="I67" s="2">
        <f>LoRa_TxDone_DATA!I67</f>
        <v>0</v>
      </c>
      <c r="J67">
        <f>LoRa_TxDone_DATA!J67</f>
        <v>0</v>
      </c>
    </row>
    <row r="68" spans="3:10" x14ac:dyDescent="0.25">
      <c r="C68">
        <f>LoRa_TxDone_DATA!C68</f>
        <v>0</v>
      </c>
      <c r="D68" s="2">
        <f>LoRa_TxDone_DATA!D68</f>
        <v>0</v>
      </c>
      <c r="E68">
        <f>LoRa_TxDone_DATA!E68</f>
        <v>0</v>
      </c>
      <c r="F68">
        <f>LoRa_TxDone_DATA!F68</f>
        <v>0</v>
      </c>
      <c r="G68">
        <f>LoRa_TxDone_DATA!G68</f>
        <v>0</v>
      </c>
      <c r="H68">
        <f>LoRa_TxDone_DATA!H68</f>
        <v>0</v>
      </c>
      <c r="I68" s="2">
        <f>LoRa_TxDone_DATA!I68</f>
        <v>0</v>
      </c>
      <c r="J68">
        <f>LoRa_TxDone_DATA!J68</f>
        <v>0</v>
      </c>
    </row>
    <row r="69" spans="3:10" x14ac:dyDescent="0.25">
      <c r="C69">
        <f>LoRa_TxDone_DATA!C69</f>
        <v>0</v>
      </c>
      <c r="D69" s="2">
        <f>LoRa_TxDone_DATA!D69</f>
        <v>0</v>
      </c>
      <c r="E69">
        <f>LoRa_TxDone_DATA!E69</f>
        <v>0</v>
      </c>
      <c r="F69">
        <f>LoRa_TxDone_DATA!F69</f>
        <v>0</v>
      </c>
      <c r="G69" t="str">
        <f>LoRa_TxDone_DATA!G69</f>
        <v>ChannelParams_t</v>
      </c>
      <c r="H69" t="str">
        <f>LoRa_TxDone_DATA!H69</f>
        <v>Channels</v>
      </c>
      <c r="I69" s="2" t="str">
        <f>LoRa_TxDone_DATA!I69</f>
        <v>DefaultChannels868</v>
      </c>
      <c r="J69">
        <f>LoRa_TxDone_DATA!J69</f>
        <v>0</v>
      </c>
    </row>
    <row r="70" spans="3:10" x14ac:dyDescent="0.25">
      <c r="C70">
        <f>LoRa_TxDone_DATA!C70</f>
        <v>0</v>
      </c>
      <c r="D70" s="2">
        <f>LoRa_TxDone_DATA!D70</f>
        <v>0</v>
      </c>
      <c r="E70">
        <f>LoRa_TxDone_DATA!E70</f>
        <v>0</v>
      </c>
      <c r="F70">
        <f>LoRa_TxDone_DATA!F70</f>
        <v>0</v>
      </c>
      <c r="G70" t="str">
        <f>LoRa_TxDone_DATA!G70</f>
        <v>uint8_t</v>
      </c>
      <c r="H70" t="str">
        <f>LoRa_TxDone_DATA!H70</f>
        <v>maxPayloadSize[]</v>
      </c>
      <c r="I70" s="2" t="str">
        <f>LoRa_TxDone_DATA!I70</f>
        <v>MAX_EU_SINGLE_BAND_CHANNELS</v>
      </c>
      <c r="J70">
        <f>LoRa_TxDone_DATA!J70</f>
        <v>0</v>
      </c>
    </row>
    <row r="71" spans="3:10" x14ac:dyDescent="0.25">
      <c r="C71">
        <f>LoRa_TxDone_DATA!C71</f>
        <v>0</v>
      </c>
      <c r="D71" s="2">
        <f>LoRa_TxDone_DATA!D71</f>
        <v>0</v>
      </c>
      <c r="E71">
        <f>LoRa_TxDone_DATA!E71</f>
        <v>0</v>
      </c>
      <c r="F71">
        <f>LoRa_TxDone_DATA!F71</f>
        <v>0</v>
      </c>
      <c r="G71" t="str">
        <f>LoRa_TxDone_DATA!G71</f>
        <v>uint8_t</v>
      </c>
      <c r="H71" t="str">
        <f>LoRa_TxDone_DATA!H71</f>
        <v>modulation[]</v>
      </c>
      <c r="I71" s="2">
        <f>LoRa_TxDone_DATA!I71</f>
        <v>0</v>
      </c>
      <c r="J71">
        <f>LoRa_TxDone_DATA!J71</f>
        <v>0</v>
      </c>
    </row>
    <row r="72" spans="3:10" x14ac:dyDescent="0.25">
      <c r="C72">
        <f>LoRa_TxDone_DATA!C72</f>
        <v>0</v>
      </c>
      <c r="D72" s="2">
        <f>LoRa_TxDone_DATA!D72</f>
        <v>0</v>
      </c>
      <c r="E72">
        <f>LoRa_TxDone_DATA!E72</f>
        <v>0</v>
      </c>
      <c r="F72">
        <f>LoRa_TxDone_DATA!F72</f>
        <v>0</v>
      </c>
      <c r="G72" t="str">
        <f>LoRa_TxDone_DATA!G72</f>
        <v>uint8_t</v>
      </c>
      <c r="H72" t="str">
        <f>LoRa_TxDone_DATA!H72</f>
        <v>spreadingFactor[]</v>
      </c>
      <c r="I72" s="2">
        <f>LoRa_TxDone_DATA!I72</f>
        <v>0</v>
      </c>
      <c r="J72">
        <f>LoRa_TxDone_DATA!J72</f>
        <v>0</v>
      </c>
    </row>
    <row r="73" spans="3:10" x14ac:dyDescent="0.25">
      <c r="C73">
        <f>LoRa_TxDone_DATA!C73</f>
        <v>0</v>
      </c>
      <c r="D73" s="2">
        <f>LoRa_TxDone_DATA!D73</f>
        <v>0</v>
      </c>
      <c r="E73">
        <f>LoRa_TxDone_DATA!E73</f>
        <v>0</v>
      </c>
      <c r="F73">
        <f>LoRa_TxDone_DATA!F73</f>
        <v>0</v>
      </c>
      <c r="G73" t="str">
        <f>LoRa_TxDone_DATA!G73</f>
        <v>uint8_t</v>
      </c>
      <c r="H73" t="str">
        <f>LoRa_TxDone_DATA!H73</f>
        <v>bandwidth[]</v>
      </c>
      <c r="I73" s="2">
        <f>LoRa_TxDone_DATA!I73</f>
        <v>0</v>
      </c>
      <c r="J73">
        <f>LoRa_TxDone_DATA!J73</f>
        <v>0</v>
      </c>
    </row>
    <row r="74" spans="3:10" x14ac:dyDescent="0.25">
      <c r="C74">
        <f>LoRa_TxDone_DATA!C74</f>
        <v>0</v>
      </c>
      <c r="D74" s="2">
        <f>LoRa_TxDone_DATA!D74</f>
        <v>0</v>
      </c>
      <c r="E74">
        <f>LoRa_TxDone_DATA!E74</f>
        <v>0</v>
      </c>
      <c r="F74">
        <f>LoRa_TxDone_DATA!F74</f>
        <v>0</v>
      </c>
      <c r="G74" t="str">
        <f>LoRa_TxDone_DATA!G74</f>
        <v>uint8_t</v>
      </c>
      <c r="H74" t="str">
        <f>LoRa_TxDone_DATA!H74</f>
        <v>txPower868[]</v>
      </c>
      <c r="I74" s="2">
        <f>LoRa_TxDone_DATA!I74</f>
        <v>0</v>
      </c>
      <c r="J74">
        <f>LoRa_TxDone_DATA!J74</f>
        <v>0</v>
      </c>
    </row>
    <row r="75" spans="3:10" x14ac:dyDescent="0.25">
      <c r="C75">
        <f>LoRa_TxDone_DATA!C75</f>
        <v>0</v>
      </c>
      <c r="D75" s="2">
        <f>LoRa_TxDone_DATA!D75</f>
        <v>0</v>
      </c>
      <c r="E75">
        <f>LoRa_TxDone_DATA!E75</f>
        <v>0</v>
      </c>
      <c r="F75">
        <f>LoRa_TxDone_DATA!F75</f>
        <v>0</v>
      </c>
      <c r="G75" t="str">
        <f>LoRa_TxDone_DATA!G75</f>
        <v>uint8_t</v>
      </c>
      <c r="H75" t="str">
        <f>LoRa_TxDone_DATA!H75</f>
        <v>LoRa_radioBuffer[]</v>
      </c>
      <c r="I75" s="2" t="str">
        <f>LoRa_TxDone_DATA!I75</f>
        <v>MAXIMUM_BUFFER_LENGTH</v>
      </c>
      <c r="J75">
        <f>LoRa_TxDone_DATA!J75</f>
        <v>0</v>
      </c>
    </row>
    <row r="76" spans="3:10" x14ac:dyDescent="0.25">
      <c r="C76">
        <f>LoRa_TxDone_DATA!C76</f>
        <v>0</v>
      </c>
      <c r="D76" s="2">
        <f>LoRa_TxDone_DATA!D76</f>
        <v>0</v>
      </c>
      <c r="E76">
        <f>LoRa_TxDone_DATA!E76</f>
        <v>0</v>
      </c>
      <c r="F76">
        <f>LoRa_TxDone_DATA!F76</f>
        <v>0</v>
      </c>
      <c r="G76">
        <f>LoRa_TxDone_DATA!G76</f>
        <v>0</v>
      </c>
      <c r="H76">
        <f>LoRa_TxDone_DATA!H76</f>
        <v>0</v>
      </c>
      <c r="I76" s="2">
        <f>LoRa_TxDone_DATA!I76</f>
        <v>0</v>
      </c>
      <c r="J76">
        <f>LoRa_TxDone_DATA!J76</f>
        <v>0</v>
      </c>
    </row>
    <row r="77" spans="3:10" x14ac:dyDescent="0.25">
      <c r="C77">
        <f>LoRa_TxDone_DATA!C77</f>
        <v>0</v>
      </c>
      <c r="D77" s="2">
        <f>LoRa_TxDone_DATA!D77</f>
        <v>0</v>
      </c>
      <c r="E77">
        <f>LoRa_TxDone_DATA!E77</f>
        <v>0</v>
      </c>
      <c r="F77">
        <f>LoRa_TxDone_DATA!F77</f>
        <v>0</v>
      </c>
      <c r="G77">
        <f>LoRa_TxDone_DATA!G77</f>
        <v>0</v>
      </c>
      <c r="H77">
        <f>LoRa_TxDone_DATA!H77</f>
        <v>0</v>
      </c>
      <c r="I77" s="2">
        <f>LoRa_TxDone_DATA!I77</f>
        <v>0</v>
      </c>
      <c r="J77">
        <f>LoRa_TxDone_DATA!J77</f>
        <v>0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Arkusz13.fill_in_RADIO_RxDone_DATA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RADIO_RxDone_DATA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F829F-8798-4417-A16D-2CD551197317}">
  <sheetPr codeName="Arkusz14"/>
  <dimension ref="B1:J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159</v>
      </c>
      <c r="D1" s="2" t="s">
        <v>7</v>
      </c>
      <c r="E1" s="2" t="s">
        <v>8</v>
      </c>
      <c r="I1" s="2" t="s">
        <v>3</v>
      </c>
    </row>
    <row r="3" spans="2:10" x14ac:dyDescent="0.25">
      <c r="B3" t="e">
        <f>#REF!</f>
        <v>#REF!</v>
      </c>
      <c r="C3" t="str">
        <f>RADIO_RxDone_DATA!C3</f>
        <v>LoRa_transmitStatus</v>
      </c>
      <c r="D3" s="6" t="s">
        <v>108</v>
      </c>
      <c r="E3">
        <f>RADIO_RxDone_DATA!E3</f>
        <v>0</v>
      </c>
      <c r="F3">
        <f>RADIO_RxDone_DATA!F3</f>
        <v>0</v>
      </c>
      <c r="G3" t="str">
        <f>RADIO_RxDone_DATA!G3</f>
        <v>LoRaMacState_t</v>
      </c>
      <c r="H3" t="str">
        <f>RADIO_RxDone_DATA!H3</f>
        <v>LoRa_transmitStatus</v>
      </c>
      <c r="I3" s="2" t="str">
        <f>RADIO_RxDone_DATA!I3</f>
        <v>LoRa_SendData_RX</v>
      </c>
      <c r="J3">
        <f>RADIO_RxDone_DATA!J3</f>
        <v>0</v>
      </c>
    </row>
    <row r="4" spans="2:10" x14ac:dyDescent="0.25">
      <c r="B4" t="e">
        <f>#REF!</f>
        <v>#REF!</v>
      </c>
      <c r="C4" t="str">
        <f>RADIO_RxDone_DATA!C4</f>
        <v>LoRa_StatusDanych</v>
      </c>
      <c r="D4" s="6" t="s">
        <v>164</v>
      </c>
      <c r="E4">
        <f>RADIO_RxDone_DATA!E4</f>
        <v>0</v>
      </c>
      <c r="F4">
        <f>RADIO_RxDone_DATA!F4</f>
        <v>0</v>
      </c>
      <c r="G4" t="str">
        <f>RADIO_RxDone_DATA!G4</f>
        <v>LoRaStatus_t</v>
      </c>
      <c r="H4" t="str">
        <f>RADIO_RxDone_DATA!H4</f>
        <v>LoRa_StatusDanych</v>
      </c>
      <c r="I4" s="2" t="str">
        <f>RADIO_RxDone_DATA!I4</f>
        <v>LoRa_transmiting</v>
      </c>
      <c r="J4">
        <f>RADIO_RxDone_DATA!J4</f>
        <v>0</v>
      </c>
    </row>
    <row r="5" spans="2:10" x14ac:dyDescent="0.25">
      <c r="B5" t="e">
        <f>#REF!</f>
        <v>#REF!</v>
      </c>
      <c r="C5" t="str">
        <f>RADIO_RxDone_DATA!C5</f>
        <v>flags</v>
      </c>
      <c r="D5" s="2">
        <f>RADIO_RxDone_DATA!E5</f>
        <v>0</v>
      </c>
      <c r="E5"/>
      <c r="F5">
        <f>RADIO_RxDone_DATA!F5</f>
        <v>0</v>
      </c>
      <c r="G5" t="str">
        <f>RADIO_RxDone_DATA!G5</f>
        <v>bool</v>
      </c>
      <c r="H5" t="str">
        <f>RADIO_RxDone_DATA!H5</f>
        <v>LoRa_initialised</v>
      </c>
      <c r="I5" s="2" t="str">
        <f>RADIO_RxDone_DATA!I5</f>
        <v>ENABLED</v>
      </c>
      <c r="J5">
        <f>RADIO_RxDone_DATA!J5</f>
        <v>0</v>
      </c>
    </row>
    <row r="6" spans="2:10" x14ac:dyDescent="0.25">
      <c r="B6" t="e">
        <f>#REF!</f>
        <v>#REF!</v>
      </c>
      <c r="C6">
        <f>RADIO_RxDone_DATA!C6</f>
        <v>0</v>
      </c>
      <c r="D6" s="2">
        <f>RADIO_RxDone_DATA!D6</f>
        <v>0</v>
      </c>
      <c r="E6">
        <f>RADIO_RxDone_DATA!E6</f>
        <v>0</v>
      </c>
      <c r="F6">
        <f>RADIO_RxDone_DATA!F6</f>
        <v>0</v>
      </c>
      <c r="G6" t="str">
        <f>RADIO_RxDone_DATA!G6</f>
        <v>FCnt_t</v>
      </c>
      <c r="H6" t="str">
        <f>RADIO_RxDone_DATA!H6</f>
        <v>LoRa_Counter</v>
      </c>
      <c r="I6" s="2" t="str">
        <f>RADIO_RxDone_DATA!I6</f>
        <v>++</v>
      </c>
      <c r="J6">
        <f>RADIO_RxDone_DATA!J6</f>
        <v>0</v>
      </c>
    </row>
    <row r="7" spans="2:10" x14ac:dyDescent="0.25">
      <c r="B7" t="e">
        <f>#REF!</f>
        <v>#REF!</v>
      </c>
      <c r="C7" s="16"/>
      <c r="D7" s="25"/>
      <c r="E7" s="17"/>
      <c r="F7" s="18"/>
      <c r="G7" t="str">
        <f>RADIO_RxDone_DATA!G7</f>
        <v>uint8_t</v>
      </c>
      <c r="H7" t="str">
        <f>RADIO_RxDone_DATA!H7</f>
        <v>LoRa_Addres</v>
      </c>
      <c r="I7" s="2" t="str">
        <f>RADIO_RxDone_DATA!I7</f>
        <v>LoRaDeviceAddress</v>
      </c>
      <c r="J7">
        <f>RADIO_RxDone_DATA!J7</f>
        <v>0</v>
      </c>
    </row>
    <row r="8" spans="2:10" x14ac:dyDescent="0.25">
      <c r="B8" t="e">
        <f>#REF!</f>
        <v>#REF!</v>
      </c>
      <c r="C8" s="19"/>
      <c r="D8" s="26"/>
      <c r="E8" s="20"/>
      <c r="F8" s="21"/>
      <c r="G8" t="str">
        <f>RADIO_RxDone_DATA!G8</f>
        <v>uint8_t</v>
      </c>
      <c r="H8" t="str">
        <f>RADIO_RxDone_DATA!H8</f>
        <v>LoRa_TimerHandshaking</v>
      </c>
      <c r="I8" s="2" t="str">
        <f>RADIO_RxDone_DATA!I8</f>
        <v>0</v>
      </c>
      <c r="J8" t="str">
        <f>RADIO_RxDone_DATA!J8</f>
        <v>LoRa_TimerHandshakingCallback</v>
      </c>
    </row>
    <row r="9" spans="2:10" x14ac:dyDescent="0.25">
      <c r="B9" s="3" t="s">
        <v>162</v>
      </c>
      <c r="C9" s="19" t="s">
        <v>163</v>
      </c>
      <c r="D9" s="26"/>
      <c r="E9" s="20"/>
      <c r="F9" s="21"/>
      <c r="G9" t="str">
        <f>RADIO_RxDone_DATA!G9</f>
        <v>uint8_t</v>
      </c>
      <c r="H9" t="str">
        <f>RADIO_RxDone_DATA!H9</f>
        <v>LoRa_TimerRetransmit</v>
      </c>
      <c r="I9" s="2" t="str">
        <f>RADIO_RxDone_DATA!I9</f>
        <v>0</v>
      </c>
      <c r="J9" t="str">
        <f>RADIO_RxDone_DATA!J9</f>
        <v>LoRa_TimerRetransmitCallback</v>
      </c>
    </row>
    <row r="10" spans="2:10" x14ac:dyDescent="0.25">
      <c r="B10" t="e">
        <f>#REF!</f>
        <v>#REF!</v>
      </c>
      <c r="C10" s="19"/>
      <c r="D10" s="26"/>
      <c r="E10" s="20"/>
      <c r="F10" s="21"/>
      <c r="G10" t="str">
        <f>RADIO_RxDone_DATA!G10</f>
        <v>uint8_t</v>
      </c>
      <c r="H10" t="str">
        <f>RADIO_RxDone_DATA!H10</f>
        <v>LoRa_TimerWaitAck</v>
      </c>
      <c r="I10" s="8" t="s">
        <v>66</v>
      </c>
      <c r="J10" t="str">
        <f>RADIO_RxDone_DATA!J10</f>
        <v>LoRa_TimerWaitAckCallback</v>
      </c>
    </row>
    <row r="11" spans="2:10" x14ac:dyDescent="0.25">
      <c r="B11" t="e">
        <f>#REF!</f>
        <v>#REF!</v>
      </c>
      <c r="C11" s="19"/>
      <c r="D11" s="26"/>
      <c r="E11" s="20"/>
      <c r="F11" s="21"/>
      <c r="G11" t="str">
        <f>RADIO_RxDone_DATA!G11</f>
        <v>uint8_t</v>
      </c>
      <c r="H11" t="str">
        <f>RADIO_RxDone_DATA!H11</f>
        <v>LoRa_HeaderBufor</v>
      </c>
      <c r="I11" s="2" t="str">
        <f>RADIO_RxDone_DATA!I11</f>
        <v>LoRa_Addres, nxt_channel</v>
      </c>
      <c r="J11">
        <f>RADIO_RxDone_DATA!J11</f>
        <v>0</v>
      </c>
    </row>
    <row r="12" spans="2:10" x14ac:dyDescent="0.25">
      <c r="B12" t="e">
        <f>#REF!</f>
        <v>#REF!</v>
      </c>
      <c r="C12" s="19"/>
      <c r="D12" s="26"/>
      <c r="E12" s="20"/>
      <c r="F12" s="21"/>
      <c r="G12" t="str">
        <f>RADIO_RxDone_DATA!G12</f>
        <v>uint8_t</v>
      </c>
      <c r="H12" t="str">
        <f>RADIO_RxDone_DATA!H12</f>
        <v>LoRa_HeaderLength</v>
      </c>
      <c r="I12" s="2" t="str">
        <f>RADIO_RxDone_DATA!I12</f>
        <v>bufferHeadIndex</v>
      </c>
      <c r="J12">
        <f>RADIO_RxDone_DATA!J12</f>
        <v>0</v>
      </c>
    </row>
    <row r="13" spans="2:10" x14ac:dyDescent="0.25">
      <c r="B13" t="e">
        <f>#REF!</f>
        <v>#REF!</v>
      </c>
      <c r="C13" s="19"/>
      <c r="D13" s="26"/>
      <c r="E13" s="20"/>
      <c r="F13" s="21"/>
      <c r="G13" t="str">
        <f>RADIO_RxDone_DATA!G13</f>
        <v>uint8_t</v>
      </c>
      <c r="H13" t="str">
        <f>RADIO_RxDone_DATA!H13</f>
        <v>LoRa_Bufor</v>
      </c>
      <c r="I13" s="2" t="str">
        <f>RADIO_RxDone_DATA!I13</f>
        <v>bufferIndex, nxt_channel, data, CRC</v>
      </c>
      <c r="J13">
        <f>RADIO_RxDone_DATA!J13</f>
        <v>0</v>
      </c>
    </row>
    <row r="14" spans="2:10" x14ac:dyDescent="0.25">
      <c r="B14" t="e">
        <f>#REF!</f>
        <v>#REF!</v>
      </c>
      <c r="C14" s="19"/>
      <c r="D14" s="26"/>
      <c r="E14" s="20"/>
      <c r="F14" s="21"/>
      <c r="G14" t="str">
        <f>RADIO_RxDone_DATA!G14</f>
        <v>uint8_t</v>
      </c>
      <c r="H14" t="str">
        <f>RADIO_RxDone_DATA!H14</f>
        <v>LoRa_BuforLength</v>
      </c>
      <c r="I14" s="2" t="str">
        <f>RADIO_RxDone_DATA!I14</f>
        <v>bufferIndex</v>
      </c>
      <c r="J14">
        <f>RADIO_RxDone_DATA!J14</f>
        <v>0</v>
      </c>
    </row>
    <row r="15" spans="2:10" x14ac:dyDescent="0.25">
      <c r="B15" t="e">
        <f>#REF!</f>
        <v>#REF!</v>
      </c>
      <c r="C15" s="19"/>
      <c r="D15" s="26"/>
      <c r="E15" s="20"/>
      <c r="F15" s="21"/>
      <c r="G15" t="str">
        <f>RADIO_RxDone_DATA!G15</f>
        <v>uint8_t</v>
      </c>
      <c r="H15" t="str">
        <f>RADIO_RxDone_DATA!H15</f>
        <v>LoRa_Command</v>
      </c>
      <c r="I15" s="2" t="str">
        <f>RADIO_RxDone_DATA!I15</f>
        <v>buffer[1]</v>
      </c>
      <c r="J15">
        <f>RADIO_RxDone_DATA!J15</f>
        <v>0</v>
      </c>
    </row>
    <row r="16" spans="2:10" x14ac:dyDescent="0.25">
      <c r="B16" t="e">
        <f>#REF!</f>
        <v>#REF!</v>
      </c>
      <c r="C16" s="19"/>
      <c r="D16" s="26"/>
      <c r="E16" s="20"/>
      <c r="F16" s="21"/>
      <c r="G16" t="str">
        <f>RADIO_RxDone_DATA!G16</f>
        <v>uint8_t</v>
      </c>
      <c r="H16" t="str">
        <f>RADIO_RxDone_DATA!H16</f>
        <v>LoRa_maxChannels</v>
      </c>
      <c r="I16" s="2" t="str">
        <f>RADIO_RxDone_DATA!I16</f>
        <v>MAX_EU_SINGLE_BAND_CHANNELS</v>
      </c>
      <c r="J16">
        <f>RADIO_RxDone_DATA!J16</f>
        <v>0</v>
      </c>
    </row>
    <row r="17" spans="2:10" x14ac:dyDescent="0.25">
      <c r="B17" t="e">
        <f>#REF!</f>
        <v>#REF!</v>
      </c>
      <c r="C17" s="19"/>
      <c r="D17" s="26"/>
      <c r="E17" s="20"/>
      <c r="F17" s="21"/>
      <c r="G17" t="str">
        <f>RADIO_RxDone_DATA!G17</f>
        <v>uint8_t</v>
      </c>
      <c r="H17" t="str">
        <f>RADIO_RxDone_DATA!H17</f>
        <v>LoRa_lastUsedChannelIndex</v>
      </c>
      <c r="I17" s="2" t="str">
        <f>RADIO_RxDone_DATA!I17</f>
        <v>channelRx</v>
      </c>
      <c r="J17">
        <f>RADIO_RxDone_DATA!J17</f>
        <v>0</v>
      </c>
    </row>
    <row r="18" spans="2:10" x14ac:dyDescent="0.25">
      <c r="B18" t="e">
        <f>#REF!</f>
        <v>#REF!</v>
      </c>
      <c r="C18" s="19"/>
      <c r="D18" s="26"/>
      <c r="E18" s="20"/>
      <c r="F18" s="21"/>
      <c r="G18" t="str">
        <f>RADIO_RxDone_DATA!G18</f>
        <v>ReceiveWindowParameters_t</v>
      </c>
      <c r="H18" t="str">
        <f>RADIO_RxDone_DATA!H18</f>
        <v>LoRa_ch0_params.frequency</v>
      </c>
      <c r="I18" s="2" t="str">
        <f>RADIO_RxDone_DATA!I18</f>
        <v>LoRa_CH0_frequency</v>
      </c>
      <c r="J18">
        <f>RADIO_RxDone_DATA!J18</f>
        <v>0</v>
      </c>
    </row>
    <row r="19" spans="2:10" x14ac:dyDescent="0.25">
      <c r="B19" t="e">
        <f>#REF!</f>
        <v>#REF!</v>
      </c>
      <c r="C19" s="19"/>
      <c r="D19" s="26"/>
      <c r="E19" s="20"/>
      <c r="F19" s="21"/>
      <c r="G19">
        <f>RADIO_RxDone_DATA!G19</f>
        <v>0</v>
      </c>
      <c r="H19" t="str">
        <f>RADIO_RxDone_DATA!H19</f>
        <v>LoRa_ch0_params.datarate</v>
      </c>
      <c r="I19" s="2" t="str">
        <f>RADIO_RxDone_DATA!I19</f>
        <v>LoRa_CH0_datarate</v>
      </c>
      <c r="J19">
        <f>RADIO_RxDone_DATA!J19</f>
        <v>0</v>
      </c>
    </row>
    <row r="20" spans="2:10" x14ac:dyDescent="0.25">
      <c r="B20" t="e">
        <f>#REF!</f>
        <v>#REF!</v>
      </c>
      <c r="C20" s="19"/>
      <c r="D20" s="26"/>
      <c r="E20" s="20"/>
      <c r="F20" s="21"/>
      <c r="G20" t="str">
        <f>RADIO_RxDone_DATA!G20</f>
        <v>ReceiveWindowParameters_t</v>
      </c>
      <c r="H20" t="str">
        <f>RADIO_RxDone_DATA!H20</f>
        <v>LoRa_receiveChannelParameters.frequency</v>
      </c>
      <c r="I20" s="2" t="str">
        <f>RADIO_RxDone_DATA!I20</f>
        <v>LoRa_Channels[channelRxIndex].frequency</v>
      </c>
      <c r="J20">
        <f>RADIO_RxDone_DATA!J20</f>
        <v>0</v>
      </c>
    </row>
    <row r="21" spans="2:10" x14ac:dyDescent="0.25">
      <c r="B21" t="e">
        <f>#REF!</f>
        <v>#REF!</v>
      </c>
      <c r="C21" s="19"/>
      <c r="D21" s="26"/>
      <c r="E21" s="20"/>
      <c r="F21" s="21"/>
      <c r="G21">
        <f>RADIO_RxDone_DATA!G21</f>
        <v>0</v>
      </c>
      <c r="H21" t="str">
        <f>RADIO_RxDone_DATA!H21</f>
        <v>LoRa_receiveChannelParameters.dataRate</v>
      </c>
      <c r="I21" s="2" t="str">
        <f>RADIO_RxDone_DATA!I21</f>
        <v>LoRa_currentDataRate</v>
      </c>
      <c r="J21">
        <f>RADIO_RxDone_DATA!J21</f>
        <v>0</v>
      </c>
    </row>
    <row r="22" spans="2:10" x14ac:dyDescent="0.25">
      <c r="B22" t="e">
        <f>#REF!</f>
        <v>#REF!</v>
      </c>
      <c r="C22" s="19"/>
      <c r="D22" s="26"/>
      <c r="E22" s="20"/>
      <c r="F22" s="21"/>
      <c r="G22" t="str">
        <f>RADIO_RxDone_DATA!G22</f>
        <v>ReceiveWindowParameters_t</v>
      </c>
      <c r="H22" t="str">
        <f>RADIO_RxDone_DATA!H22</f>
        <v>LoRa_sendChannelParameters.frequency</v>
      </c>
      <c r="I22" s="2" t="str">
        <f>RADIO_RxDone_DATA!I22</f>
        <v>LoRa_Channels[channelRxIndex].frequency</v>
      </c>
      <c r="J22">
        <f>RADIO_RxDone_DATA!J22</f>
        <v>0</v>
      </c>
    </row>
    <row r="23" spans="2:10" x14ac:dyDescent="0.25">
      <c r="B23" t="e">
        <f>#REF!</f>
        <v>#REF!</v>
      </c>
      <c r="C23" s="19"/>
      <c r="D23" s="26"/>
      <c r="E23" s="20"/>
      <c r="F23" s="21"/>
      <c r="G23">
        <f>RADIO_RxDone_DATA!G23</f>
        <v>0</v>
      </c>
      <c r="H23" t="str">
        <f>RADIO_RxDone_DATA!H23</f>
        <v>LoRa_sendChannelParameters.dataRate</v>
      </c>
      <c r="I23" s="2" t="str">
        <f>RADIO_RxDone_DATA!I23</f>
        <v>LoRa_currentDataRate</v>
      </c>
      <c r="J23">
        <f>RADIO_RxDone_DATA!J23</f>
        <v>0</v>
      </c>
    </row>
    <row r="24" spans="2:10" x14ac:dyDescent="0.25">
      <c r="B24" t="e">
        <f>#REF!</f>
        <v>#REF!</v>
      </c>
      <c r="C24" s="22"/>
      <c r="D24" s="27"/>
      <c r="E24" s="23"/>
      <c r="F24" s="24"/>
      <c r="G24" t="str">
        <f>RADIO_RxDone_DATA!G24</f>
        <v>uint8_t</v>
      </c>
      <c r="H24" t="str">
        <f>RADIO_RxDone_DATA!H24</f>
        <v>LoRa_txPower</v>
      </c>
      <c r="I24" s="2">
        <f>RADIO_RxDone_DATA!I24</f>
        <v>1</v>
      </c>
      <c r="J24">
        <f>RADIO_RxDone_DATA!J24</f>
        <v>0</v>
      </c>
    </row>
    <row r="25" spans="2:10" x14ac:dyDescent="0.25">
      <c r="B25" t="e">
        <f>#REF!</f>
        <v>#REF!</v>
      </c>
      <c r="C25" t="str">
        <f>RADIO_RxDone_DATA!C25</f>
        <v>DATA</v>
      </c>
      <c r="D25" s="2" t="str">
        <f>RADIO_RxDone_DATA!D25</f>
        <v>LoRa_Addres, nxt_channel</v>
      </c>
      <c r="E25">
        <f>RADIO_RxDone_DATA!E25</f>
        <v>0</v>
      </c>
      <c r="F25">
        <f>RADIO_RxDone_DATA!F25</f>
        <v>0</v>
      </c>
      <c r="G25" t="str">
        <f>RADIO_RxDone_DATA!G25</f>
        <v>uint8_t</v>
      </c>
      <c r="H25" t="str">
        <f>RADIO_RxDone_DATA!H25</f>
        <v>LoRa_syncWord</v>
      </c>
      <c r="I25" s="2" t="str">
        <f>RADIO_RxDone_DATA!I25</f>
        <v>0x34</v>
      </c>
      <c r="J25">
        <f>RADIO_RxDone_DATA!J25</f>
        <v>0</v>
      </c>
    </row>
    <row r="26" spans="2:10" x14ac:dyDescent="0.25">
      <c r="B26" t="e">
        <f>#REF!</f>
        <v>#REF!</v>
      </c>
      <c r="C26" t="str">
        <f>RADIO_RxDone_DATA!C26</f>
        <v>mode</v>
      </c>
      <c r="D26" s="2" t="str">
        <f>RADIO_RxDone_DATA!D26</f>
        <v>MODE_RXSINGLE</v>
      </c>
      <c r="E26">
        <f>RADIO_RxDone_DATA!E26</f>
        <v>0</v>
      </c>
      <c r="F26">
        <f>RADIO_RxDone_DATA!F26</f>
        <v>0</v>
      </c>
      <c r="G26" t="str">
        <f>RADIO_RxDone_DATA!G26</f>
        <v>uint8_t</v>
      </c>
      <c r="H26" t="str">
        <f>RADIO_RxDone_DATA!H26</f>
        <v>LoRa_batteryLevel</v>
      </c>
      <c r="I26" s="2" t="str">
        <f>RADIO_RxDone_DATA!I26</f>
        <v>BATTERY_LEVEL_INVALID</v>
      </c>
      <c r="J26">
        <f>RADIO_RxDone_DATA!J26</f>
        <v>0</v>
      </c>
    </row>
    <row r="27" spans="2:10" x14ac:dyDescent="0.25">
      <c r="B27" t="e">
        <f>#REF!</f>
        <v>#REF!</v>
      </c>
      <c r="C27" t="str">
        <f>RADIO_RxDone_DATA!C27</f>
        <v>modulation</v>
      </c>
      <c r="D27" s="2" t="str">
        <f>RADIO_RxDone_DATA!D27</f>
        <v>MODULATION_LORA</v>
      </c>
      <c r="E27">
        <f>RADIO_RxDone_DATA!E27</f>
        <v>0</v>
      </c>
      <c r="F27">
        <f>RADIO_RxDone_DATA!F27</f>
        <v>0</v>
      </c>
      <c r="G27" t="str">
        <f>RADIO_RxDone_DATA!G27</f>
        <v>IsmBand_t</v>
      </c>
      <c r="H27" t="str">
        <f>RADIO_RxDone_DATA!H27</f>
        <v>LoRa_ismBand</v>
      </c>
      <c r="I27" s="2" t="str">
        <f>RADIO_RxDone_DATA!I27</f>
        <v>ISM_EU868</v>
      </c>
      <c r="J27">
        <f>RADIO_RxDone_DATA!J27</f>
        <v>0</v>
      </c>
    </row>
    <row r="28" spans="2:10" x14ac:dyDescent="0.25">
      <c r="B28" t="e">
        <f>#REF!</f>
        <v>#REF!</v>
      </c>
      <c r="C28" t="str">
        <f>RADIO_RxDone_DATA!C28</f>
        <v>frequency</v>
      </c>
      <c r="D28" s="2" t="str">
        <f>RADIO_RxDone_DATA!D28</f>
        <v>LoRa_receiveChannelParameters.frequency</v>
      </c>
      <c r="E28">
        <f>RADIO_RxDone_DATA!E28</f>
        <v>0</v>
      </c>
      <c r="F28">
        <f>RADIO_RxDone_DATA!F28</f>
        <v>0</v>
      </c>
      <c r="G28" t="str">
        <f>RADIO_RxDone_DATA!G28</f>
        <v>uint8_t</v>
      </c>
      <c r="H28" t="str">
        <f>RADIO_RxDone_DATA!H28</f>
        <v>LoRa_currentDataRate</v>
      </c>
      <c r="I28" s="2" t="str">
        <f>RADIO_RxDone_DATA!I28</f>
        <v>DR0</v>
      </c>
      <c r="J28">
        <f>RADIO_RxDone_DATA!J28</f>
        <v>0</v>
      </c>
    </row>
    <row r="29" spans="2:10" x14ac:dyDescent="0.25">
      <c r="B29" t="e">
        <f>#REF!</f>
        <v>#REF!</v>
      </c>
      <c r="C29" t="str">
        <f>RADIO_RxDone_DATA!C29</f>
        <v>payload</v>
      </c>
      <c r="D29" s="2">
        <f>RADIO_RxDone_DATA!D29</f>
        <v>1</v>
      </c>
      <c r="E29">
        <f>RADIO_RxDone_DATA!E29</f>
        <v>0</v>
      </c>
      <c r="F29">
        <f>RADIO_RxDone_DATA!F29</f>
        <v>0</v>
      </c>
      <c r="G29" t="str">
        <f>RADIO_RxDone_DATA!G29</f>
        <v>uint8_t</v>
      </c>
      <c r="H29" t="str">
        <f>RADIO_RxDone_DATA!H29</f>
        <v>LoRa_minDataRate</v>
      </c>
      <c r="I29" s="2" t="str">
        <f>RADIO_RxDone_DATA!I29</f>
        <v>DR0</v>
      </c>
      <c r="J29">
        <f>RADIO_RxDone_DATA!J29</f>
        <v>0</v>
      </c>
    </row>
    <row r="30" spans="2:10" x14ac:dyDescent="0.25">
      <c r="B30" t="e">
        <f>#REF!</f>
        <v>#REF!</v>
      </c>
      <c r="C30" t="str">
        <f>RADIO_RxDone_DATA!C30</f>
        <v>power</v>
      </c>
      <c r="D30" s="2" t="str">
        <f>RADIO_RxDone_DATA!D30</f>
        <v>txPower868[LoRa_txPower]</v>
      </c>
      <c r="E30">
        <f>RADIO_RxDone_DATA!E30</f>
        <v>0</v>
      </c>
      <c r="F30">
        <f>RADIO_RxDone_DATA!F30</f>
        <v>0</v>
      </c>
      <c r="G30" t="str">
        <f>RADIO_RxDone_DATA!G30</f>
        <v>uint8_t</v>
      </c>
      <c r="H30" t="str">
        <f>RADIO_RxDone_DATA!H30</f>
        <v>LoRa_maxDataRate</v>
      </c>
      <c r="I30" s="2" t="str">
        <f>RADIO_RxDone_DATA!I30</f>
        <v>DR7</v>
      </c>
      <c r="J30">
        <f>RADIO_RxDone_DATA!J30</f>
        <v>0</v>
      </c>
    </row>
    <row r="31" spans="2:10" x14ac:dyDescent="0.25">
      <c r="B31" t="e">
        <f>#REF!</f>
        <v>#REF!</v>
      </c>
      <c r="C31" t="str">
        <f>RADIO_RxDone_DATA!C31</f>
        <v>SpreadingFactor</v>
      </c>
      <c r="D31" s="2" t="str">
        <f>RADIO_RxDone_DATA!D31</f>
        <v>spreadingFactor[LoRa_receiveChannelParameters.dataRate]</v>
      </c>
      <c r="E31">
        <f>RADIO_RxDone_DATA!E31</f>
        <v>0</v>
      </c>
      <c r="F31">
        <f>RADIO_RxDone_DATA!F31</f>
        <v>0</v>
      </c>
      <c r="G31" t="str">
        <f>RADIO_RxDone_DATA!G31</f>
        <v>uint8_t</v>
      </c>
      <c r="H31" t="str">
        <f>RADIO_RxDone_DATA!H31</f>
        <v>LoRa_nextUsedChannel</v>
      </c>
      <c r="I31" s="6" t="s">
        <v>158</v>
      </c>
      <c r="J31">
        <f>RADIO_RxDone_DATA!J31</f>
        <v>0</v>
      </c>
    </row>
    <row r="32" spans="2:10" x14ac:dyDescent="0.25">
      <c r="B32" t="e">
        <f>#REF!</f>
        <v>#REF!</v>
      </c>
      <c r="C32" t="str">
        <f>RADIO_RxDone_DATA!C32</f>
        <v>Bandwidth</v>
      </c>
      <c r="D32" s="2" t="str">
        <f>RADIO_RxDone_DATA!D32</f>
        <v>bandwidth[LoRa_receiveChannelParameters.dataRate]</v>
      </c>
      <c r="E32">
        <f>RADIO_RxDone_DATA!E32</f>
        <v>0</v>
      </c>
      <c r="F32">
        <f>RADIO_RxDone_DATA!F32</f>
        <v>0</v>
      </c>
      <c r="G32">
        <f>RADIO_RxDone_DATA!G32</f>
        <v>0</v>
      </c>
      <c r="H32">
        <f>RADIO_RxDone_DATA!H32</f>
        <v>0</v>
      </c>
      <c r="I32" s="2">
        <f>RADIO_RxDone_DATA!I32</f>
        <v>0</v>
      </c>
      <c r="J32">
        <f>RADIO_RxDone_DATA!J32</f>
        <v>0</v>
      </c>
    </row>
    <row r="33" spans="2:10" x14ac:dyDescent="0.25">
      <c r="B33" t="e">
        <f>#REF!</f>
        <v>#REF!</v>
      </c>
      <c r="C33" t="str">
        <f>RADIO_RxDone_DATA!C33</f>
        <v>SyncWord</v>
      </c>
      <c r="D33" s="2" t="str">
        <f>RADIO_RxDone_DATA!D33</f>
        <v>LoRa_syncWord</v>
      </c>
      <c r="E33">
        <f>RADIO_RxDone_DATA!E33</f>
        <v>0</v>
      </c>
      <c r="F33">
        <f>RADIO_RxDone_DATA!F33</f>
        <v>0</v>
      </c>
      <c r="G33">
        <f>RADIO_RxDone_DATA!G33</f>
        <v>0</v>
      </c>
      <c r="H33">
        <f>RADIO_RxDone_DATA!H33</f>
        <v>0</v>
      </c>
      <c r="I33" s="2">
        <f>RADIO_RxDone_DATA!I33</f>
        <v>0</v>
      </c>
      <c r="J33">
        <f>RADIO_RxDone_DATA!J33</f>
        <v>0</v>
      </c>
    </row>
    <row r="34" spans="2:10" x14ac:dyDescent="0.25">
      <c r="B34" t="e">
        <f>#REF!</f>
        <v>#REF!</v>
      </c>
      <c r="C34" t="str">
        <f>RADIO_RxDone_DATA!C34</f>
        <v>CRC</v>
      </c>
      <c r="D34" s="2" t="str">
        <f>RADIO_RxDone_DATA!D34</f>
        <v>DISABLED</v>
      </c>
      <c r="E34">
        <f>RADIO_RxDone_DATA!E34</f>
        <v>0</v>
      </c>
      <c r="F34">
        <f>RADIO_RxDone_DATA!F34</f>
        <v>0</v>
      </c>
      <c r="G34" t="str">
        <f>RADIO_RxDone_DATA!G34</f>
        <v>uint32_t</v>
      </c>
      <c r="H34" t="str">
        <f>RADIO_RxDone_DATA!H34</f>
        <v>frequency</v>
      </c>
      <c r="I34" s="2" t="str">
        <f>RADIO_RxDone_DATA!I34</f>
        <v>LoRa_receiveChannelParameters.frequency</v>
      </c>
      <c r="J34">
        <f>RADIO_RxDone_DATA!J34</f>
        <v>0</v>
      </c>
    </row>
    <row r="35" spans="2:10" x14ac:dyDescent="0.25">
      <c r="B35" t="e">
        <f>#REF!</f>
        <v>#REF!</v>
      </c>
      <c r="C35" t="str">
        <f>RADIO_RxDone_DATA!C35</f>
        <v>IQInverted</v>
      </c>
      <c r="D35" s="2" t="str">
        <f>RADIO_RxDone_DATA!D35</f>
        <v>ENABLED</v>
      </c>
      <c r="E35">
        <f>RADIO_RxDone_DATA!E35</f>
        <v>0</v>
      </c>
      <c r="F35">
        <f>RADIO_RxDone_DATA!F35</f>
        <v>0</v>
      </c>
      <c r="G35" t="str">
        <f>RADIO_RxDone_DATA!G35</f>
        <v>uint32_t</v>
      </c>
      <c r="H35" t="str">
        <f>RADIO_RxDone_DATA!H35</f>
        <v>frequencyDeviation</v>
      </c>
      <c r="I35" s="2">
        <f>RADIO_RxDone_DATA!I35</f>
        <v>25000</v>
      </c>
      <c r="J35">
        <f>RADIO_RxDone_DATA!J35</f>
        <v>0</v>
      </c>
    </row>
    <row r="36" spans="2:10" x14ac:dyDescent="0.25">
      <c r="B36" t="e">
        <f>#REF!</f>
        <v>#REF!</v>
      </c>
      <c r="C36" t="str">
        <f>RADIO_RxDone_DATA!C36</f>
        <v>HopPeriod</v>
      </c>
      <c r="D36" s="2" t="str">
        <f>RADIO_RxDone_DATA!D36</f>
        <v>DISABLED</v>
      </c>
      <c r="E36">
        <f>RADIO_RxDone_DATA!E36</f>
        <v>0</v>
      </c>
      <c r="F36">
        <f>RADIO_RxDone_DATA!F36</f>
        <v>0</v>
      </c>
      <c r="G36" t="str">
        <f>RADIO_RxDone_DATA!G36</f>
        <v>uint32_t</v>
      </c>
      <c r="H36" t="str">
        <f>RADIO_RxDone_DATA!H36</f>
        <v>bitRate</v>
      </c>
      <c r="I36" s="2">
        <f>RADIO_RxDone_DATA!I36</f>
        <v>50000</v>
      </c>
      <c r="J36">
        <f>RADIO_RxDone_DATA!J36</f>
        <v>0</v>
      </c>
    </row>
    <row r="37" spans="2:10" x14ac:dyDescent="0.25">
      <c r="B37" t="e">
        <f>#REF!</f>
        <v>#REF!</v>
      </c>
      <c r="C37" t="str">
        <f>RADIO_RxDone_DATA!C37</f>
        <v>errorCodingRate</v>
      </c>
      <c r="D37" s="2" t="str">
        <f>RADIO_RxDone_DATA!D37</f>
        <v>CR_4_5</v>
      </c>
      <c r="E37">
        <f>RADIO_RxDone_DATA!E37</f>
        <v>0</v>
      </c>
      <c r="F37">
        <f>RADIO_RxDone_DATA!F37</f>
        <v>0</v>
      </c>
      <c r="G37" t="str">
        <f>RADIO_RxDone_DATA!G37</f>
        <v>uint16_t</v>
      </c>
      <c r="H37" t="str">
        <f>RADIO_RxDone_DATA!H37</f>
        <v>preambleLen</v>
      </c>
      <c r="I37" s="2">
        <f>RADIO_RxDone_DATA!I37</f>
        <v>8</v>
      </c>
      <c r="J37">
        <f>RADIO_RxDone_DATA!J37</f>
        <v>0</v>
      </c>
    </row>
    <row r="38" spans="2:10" x14ac:dyDescent="0.25">
      <c r="B38" t="e">
        <f>#REF!</f>
        <v>#REF!</v>
      </c>
      <c r="C38" t="str">
        <f>RADIO_RxDone_DATA!C38</f>
        <v>implicitHeaderMode</v>
      </c>
      <c r="D38" s="2" t="str">
        <f>RADIO_RxDone_DATA!D38</f>
        <v>0</v>
      </c>
      <c r="E38">
        <f>RADIO_RxDone_DATA!E38</f>
        <v>0</v>
      </c>
      <c r="F38">
        <f>RADIO_RxDone_DATA!F38</f>
        <v>0</v>
      </c>
      <c r="G38" t="str">
        <f>RADIO_RxDone_DATA!G38</f>
        <v>uint8_t</v>
      </c>
      <c r="H38" t="str">
        <f>RADIO_RxDone_DATA!H38</f>
        <v>syncWordLoRa</v>
      </c>
      <c r="I38" s="2" t="str">
        <f>RADIO_RxDone_DATA!I38</f>
        <v>LoRa_syncWord</v>
      </c>
      <c r="J38">
        <f>RADIO_RxDone_DATA!J38</f>
        <v>0</v>
      </c>
    </row>
    <row r="39" spans="2:10" x14ac:dyDescent="0.25">
      <c r="B39" t="e">
        <f>#REF!</f>
        <v>#REF!</v>
      </c>
      <c r="C39" t="str">
        <f>RADIO_RxDone_DATA!C39</f>
        <v>preambleLen</v>
      </c>
      <c r="D39" s="2">
        <f>RADIO_RxDone_DATA!D39</f>
        <v>8</v>
      </c>
      <c r="E39">
        <f>RADIO_RxDone_DATA!E39</f>
        <v>0</v>
      </c>
      <c r="F39">
        <f>RADIO_RxDone_DATA!F39</f>
        <v>0</v>
      </c>
      <c r="G39" t="str">
        <f>RADIO_RxDone_DATA!G39</f>
        <v>uint8_t</v>
      </c>
      <c r="H39" t="str">
        <f>RADIO_RxDone_DATA!H39</f>
        <v>syncWord</v>
      </c>
      <c r="I39" s="2" t="str">
        <f>RADIO_RxDone_DATA!I39</f>
        <v>0xc1 0x94 0xc1</v>
      </c>
      <c r="J39">
        <f>RADIO_RxDone_DATA!J39</f>
        <v>0</v>
      </c>
    </row>
    <row r="40" spans="2:10" x14ac:dyDescent="0.25">
      <c r="B40" t="e">
        <f>#REF!</f>
        <v>#REF!</v>
      </c>
      <c r="C40" t="str">
        <f>RADIO_RxDone_DATA!C40</f>
        <v>symbolTimeout</v>
      </c>
      <c r="D40" s="2">
        <f>RADIO_RxDone_DATA!D40</f>
        <v>4</v>
      </c>
      <c r="E40">
        <f>RADIO_RxDone_DATA!E40</f>
        <v>0</v>
      </c>
      <c r="F40">
        <f>RADIO_RxDone_DATA!F40</f>
        <v>0</v>
      </c>
      <c r="G40" t="str">
        <f>RADIO_RxDone_DATA!G40</f>
        <v>uint8_t</v>
      </c>
      <c r="H40" t="str">
        <f>RADIO_RxDone_DATA!H40</f>
        <v>syncWordLen</v>
      </c>
      <c r="I40" s="2">
        <f>RADIO_RxDone_DATA!I40</f>
        <v>3</v>
      </c>
      <c r="J40">
        <f>RADIO_RxDone_DATA!J40</f>
        <v>0</v>
      </c>
    </row>
    <row r="41" spans="2:10" x14ac:dyDescent="0.25">
      <c r="B41" t="e">
        <f>#REF!</f>
        <v>#REF!</v>
      </c>
      <c r="C41" t="str">
        <f>RADIO_RxDone_DATA!C41</f>
        <v>FSKfreqDeviation</v>
      </c>
      <c r="D41" s="2">
        <f>RADIO_RxDone_DATA!D41</f>
        <v>25000</v>
      </c>
      <c r="E41">
        <f>RADIO_RxDone_DATA!E41</f>
        <v>0</v>
      </c>
      <c r="F41">
        <f>RADIO_RxDone_DATA!F41</f>
        <v>0</v>
      </c>
      <c r="G41" t="str">
        <f>RADIO_RxDone_DATA!G41</f>
        <v>RadioModulation_t</v>
      </c>
      <c r="H41" t="str">
        <f>RADIO_RxDone_DATA!H41</f>
        <v>modulation</v>
      </c>
      <c r="I41" s="2" t="str">
        <f>RADIO_RxDone_DATA!I41</f>
        <v>modulation[LoRa_receiveChannelParameters.dataRate]</v>
      </c>
      <c r="J41">
        <f>RADIO_RxDone_DATA!J41</f>
        <v>0</v>
      </c>
    </row>
    <row r="42" spans="2:10" x14ac:dyDescent="0.25">
      <c r="B42" t="e">
        <f>#REF!</f>
        <v>#REF!</v>
      </c>
      <c r="C42" t="str">
        <f>RADIO_RxDone_DATA!C42</f>
        <v>FSKBitRate</v>
      </c>
      <c r="D42" s="2">
        <f>RADIO_RxDone_DATA!D42</f>
        <v>50000</v>
      </c>
      <c r="E42">
        <f>RADIO_RxDone_DATA!E42</f>
        <v>0</v>
      </c>
      <c r="F42">
        <f>RADIO_RxDone_DATA!F42</f>
        <v>0</v>
      </c>
      <c r="G42" t="str">
        <f>RADIO_RxDone_DATA!G42</f>
        <v>RadioDataRate_t</v>
      </c>
      <c r="H42" t="str">
        <f>RADIO_RxDone_DATA!H42</f>
        <v>dataRate</v>
      </c>
      <c r="I42" s="2" t="str">
        <f>RADIO_RxDone_DATA!I42</f>
        <v>spreadingFactor[LoRa_receiveChannelParameters.dataRate]</v>
      </c>
      <c r="J42">
        <f>RADIO_RxDone_DATA!J42</f>
        <v>0</v>
      </c>
    </row>
    <row r="43" spans="2:10" x14ac:dyDescent="0.25">
      <c r="B43" t="e">
        <f>#REF!</f>
        <v>#REF!</v>
      </c>
      <c r="C43" t="str">
        <f>RADIO_RxDone_DATA!C43</f>
        <v>FSK_PREAMBLE</v>
      </c>
      <c r="D43" s="2">
        <f>RADIO_RxDone_DATA!D43</f>
        <v>8</v>
      </c>
      <c r="E43">
        <f>RADIO_RxDone_DATA!E43</f>
        <v>0</v>
      </c>
      <c r="F43">
        <f>RADIO_RxDone_DATA!F43</f>
        <v>0</v>
      </c>
      <c r="G43" t="str">
        <f>RADIO_RxDone_DATA!G43</f>
        <v>RadioLoRaBandWidth_t</v>
      </c>
      <c r="H43" t="str">
        <f>RADIO_RxDone_DATA!H43</f>
        <v>bandWidth</v>
      </c>
      <c r="I43" s="2" t="str">
        <f>RADIO_RxDone_DATA!I43</f>
        <v>bandwidth[LoRa_receiveChannelParameters.dataRate]</v>
      </c>
      <c r="J43">
        <f>RADIO_RxDone_DATA!J43</f>
        <v>0</v>
      </c>
    </row>
    <row r="44" spans="2:10" x14ac:dyDescent="0.25">
      <c r="B44" t="e">
        <f>#REF!</f>
        <v>#REF!</v>
      </c>
      <c r="C44" t="str">
        <f>RADIO_RxDone_DATA!C44</f>
        <v>fskDataShaping</v>
      </c>
      <c r="D44" s="2" t="str">
        <f>RADIO_RxDone_DATA!D44</f>
        <v>FSK_SHAPING_GAUSS_BT_0_5</v>
      </c>
      <c r="E44">
        <f>RADIO_RxDone_DATA!E44</f>
        <v>0</v>
      </c>
      <c r="F44">
        <f>RADIO_RxDone_DATA!F44</f>
        <v>0</v>
      </c>
      <c r="G44" t="str">
        <f>RADIO_RxDone_DATA!G44</f>
        <v>int8_t</v>
      </c>
      <c r="H44" t="str">
        <f>RADIO_RxDone_DATA!H44</f>
        <v>outputPower</v>
      </c>
      <c r="I44" s="2" t="str">
        <f>RADIO_RxDone_DATA!I44</f>
        <v>txPower868[LoRa_txPower]</v>
      </c>
      <c r="J44">
        <f>RADIO_RxDone_DATA!J44</f>
        <v>0</v>
      </c>
    </row>
    <row r="45" spans="2:10" x14ac:dyDescent="0.25">
      <c r="B45" t="e">
        <f>#REF!</f>
        <v>#REF!</v>
      </c>
      <c r="C45">
        <f>RADIO_RxDone_DATA!C45</f>
        <v>0</v>
      </c>
      <c r="D45" s="2">
        <f>RADIO_RxDone_DATA!D45</f>
        <v>0</v>
      </c>
      <c r="E45">
        <f>RADIO_RxDone_DATA!E45</f>
        <v>0</v>
      </c>
      <c r="F45">
        <f>RADIO_RxDone_DATA!F45</f>
        <v>0</v>
      </c>
      <c r="G45" t="str">
        <f>RADIO_RxDone_DATA!G45</f>
        <v>uint8_t</v>
      </c>
      <c r="H45" t="str">
        <f>RADIO_RxDone_DATA!H45</f>
        <v>crcOn</v>
      </c>
      <c r="I45" s="2" t="str">
        <f>RADIO_RxDone_DATA!I45</f>
        <v>DISABLED</v>
      </c>
      <c r="J45">
        <f>RADIO_RxDone_DATA!J45</f>
        <v>0</v>
      </c>
    </row>
    <row r="46" spans="2:10" x14ac:dyDescent="0.25">
      <c r="B46" t="e">
        <f>#REF!</f>
        <v>#REF!</v>
      </c>
      <c r="C46">
        <f>RADIO_RxDone_DATA!C46</f>
        <v>0</v>
      </c>
      <c r="D46" s="2">
        <f>RADIO_RxDone_DATA!D46</f>
        <v>0</v>
      </c>
      <c r="E46">
        <f>RADIO_RxDone_DATA!E46</f>
        <v>0</v>
      </c>
      <c r="F46">
        <f>RADIO_RxDone_DATA!F46</f>
        <v>0</v>
      </c>
      <c r="G46" t="str">
        <f>RADIO_RxDone_DATA!G46</f>
        <v>uint8_t</v>
      </c>
      <c r="H46" t="str">
        <f>RADIO_RxDone_DATA!H46</f>
        <v>paBoost</v>
      </c>
      <c r="I46" s="2" t="str">
        <f>RADIO_RxDone_DATA!I46</f>
        <v>0</v>
      </c>
      <c r="J46">
        <f>RADIO_RxDone_DATA!J46</f>
        <v>0</v>
      </c>
    </row>
    <row r="47" spans="2:10" x14ac:dyDescent="0.25">
      <c r="B47" t="e">
        <f>#REF!</f>
        <v>#REF!</v>
      </c>
      <c r="C47">
        <f>RADIO_RxDone_DATA!C47</f>
        <v>0</v>
      </c>
      <c r="D47" s="2">
        <f>RADIO_RxDone_DATA!D47</f>
        <v>0</v>
      </c>
      <c r="E47">
        <f>RADIO_RxDone_DATA!E47</f>
        <v>0</v>
      </c>
      <c r="F47">
        <f>RADIO_RxDone_DATA!F47</f>
        <v>0</v>
      </c>
      <c r="G47" t="str">
        <f>RADIO_RxDone_DATA!G47</f>
        <v>uint8_t</v>
      </c>
      <c r="H47" t="str">
        <f>RADIO_RxDone_DATA!H47</f>
        <v>flags</v>
      </c>
      <c r="I47" s="2" t="str">
        <f>RADIO_RxDone_DATA!I47</f>
        <v>0</v>
      </c>
    </row>
    <row r="48" spans="2:10" x14ac:dyDescent="0.25">
      <c r="B48" t="e">
        <f>#REF!</f>
        <v>#REF!</v>
      </c>
      <c r="C48">
        <f>RADIO_RxDone_DATA!C48</f>
        <v>0</v>
      </c>
      <c r="D48" s="2">
        <f>RADIO_RxDone_DATA!D48</f>
        <v>0</v>
      </c>
      <c r="E48">
        <f>RADIO_RxDone_DATA!E48</f>
        <v>0</v>
      </c>
      <c r="F48">
        <f>RADIO_RxDone_DATA!F48</f>
        <v>0</v>
      </c>
      <c r="G48" t="str">
        <f>RADIO_RxDone_DATA!G48</f>
        <v>uint16_t</v>
      </c>
      <c r="H48" t="str">
        <f>RADIO_RxDone_DATA!H48</f>
        <v>frequencyHopPeriod</v>
      </c>
      <c r="I48" s="2" t="str">
        <f>RADIO_RxDone_DATA!I48</f>
        <v>DISABLED</v>
      </c>
      <c r="J48">
        <f>RADIO_RxDone_DATA!J48</f>
        <v>0</v>
      </c>
    </row>
    <row r="49" spans="2:10" x14ac:dyDescent="0.25">
      <c r="B49" t="e">
        <f>#REF!</f>
        <v>#REF!</v>
      </c>
      <c r="C49">
        <f>RADIO_RxDone_DATA!C49</f>
        <v>0</v>
      </c>
      <c r="D49" s="2">
        <f>RADIO_RxDone_DATA!D49</f>
        <v>0</v>
      </c>
      <c r="E49">
        <f>RADIO_RxDone_DATA!E49</f>
        <v>0</v>
      </c>
      <c r="F49">
        <f>RADIO_RxDone_DATA!F49</f>
        <v>0</v>
      </c>
      <c r="G49" t="str">
        <f>RADIO_RxDone_DATA!G49</f>
        <v>uint8_t</v>
      </c>
      <c r="H49" t="str">
        <f>RADIO_RxDone_DATA!H49</f>
        <v>iqInverted</v>
      </c>
      <c r="I49" s="2" t="str">
        <f>RADIO_RxDone_DATA!I49</f>
        <v>ENABLED</v>
      </c>
      <c r="J49">
        <f>RADIO_RxDone_DATA!J49</f>
        <v>0</v>
      </c>
    </row>
    <row r="50" spans="2:10" x14ac:dyDescent="0.25">
      <c r="B50" t="e">
        <f>#REF!</f>
        <v>#REF!</v>
      </c>
      <c r="C50">
        <f>RADIO_RxDone_DATA!C50</f>
        <v>0</v>
      </c>
      <c r="D50" s="2">
        <f>RADIO_RxDone_DATA!D50</f>
        <v>0</v>
      </c>
      <c r="E50">
        <f>RADIO_RxDone_DATA!E50</f>
        <v>0</v>
      </c>
      <c r="F50">
        <f>RADIO_RxDone_DATA!F50</f>
        <v>0</v>
      </c>
      <c r="G50" t="str">
        <f>RADIO_RxDone_DATA!G50</f>
        <v>RadioErrorCodingRate_t</v>
      </c>
      <c r="H50" t="str">
        <f>RADIO_RxDone_DATA!H50</f>
        <v>errorCodingRate</v>
      </c>
      <c r="I50" s="2" t="str">
        <f>RADIO_RxDone_DATA!I50</f>
        <v>CR_4_5</v>
      </c>
      <c r="J50">
        <f>RADIO_RxDone_DATA!J50</f>
        <v>0</v>
      </c>
    </row>
    <row r="51" spans="2:10" x14ac:dyDescent="0.25">
      <c r="B51" t="e">
        <f>#REF!</f>
        <v>#REF!</v>
      </c>
      <c r="C51">
        <f>RADIO_RxDone_DATA!C51</f>
        <v>0</v>
      </c>
      <c r="D51" s="2">
        <f>RADIO_RxDone_DATA!D51</f>
        <v>0</v>
      </c>
      <c r="E51">
        <f>RADIO_RxDone_DATA!E51</f>
        <v>0</v>
      </c>
      <c r="F51">
        <f>RADIO_RxDone_DATA!F51</f>
        <v>0</v>
      </c>
      <c r="G51" t="str">
        <f>RADIO_RxDone_DATA!G51</f>
        <v>uint8_t</v>
      </c>
      <c r="H51" t="str">
        <f>RADIO_RxDone_DATA!H51</f>
        <v>implicitHeaderMode</v>
      </c>
      <c r="I51" s="2" t="str">
        <f>RADIO_RxDone_DATA!I51</f>
        <v>0</v>
      </c>
      <c r="J51">
        <f>RADIO_RxDone_DATA!J51</f>
        <v>0</v>
      </c>
    </row>
    <row r="52" spans="2:10" x14ac:dyDescent="0.25">
      <c r="B52" t="e">
        <f>#REF!</f>
        <v>#REF!</v>
      </c>
      <c r="C52">
        <f>RADIO_RxDone_DATA!C52</f>
        <v>0</v>
      </c>
      <c r="D52" s="2">
        <f>RADIO_RxDone_DATA!D52</f>
        <v>0</v>
      </c>
      <c r="E52">
        <f>RADIO_RxDone_DATA!E52</f>
        <v>0</v>
      </c>
      <c r="F52">
        <f>RADIO_RxDone_DATA!F52</f>
        <v>0</v>
      </c>
      <c r="G52">
        <f>RADIO_RxDone_DATA!G52</f>
        <v>0</v>
      </c>
      <c r="H52">
        <f>RADIO_RxDone_DATA!H52</f>
        <v>0</v>
      </c>
      <c r="I52" s="2">
        <f>RADIO_RxDone_DATA!I52</f>
        <v>0</v>
      </c>
      <c r="J52">
        <f>RADIO_RxDone_DATA!J52</f>
        <v>0</v>
      </c>
    </row>
    <row r="53" spans="2:10" x14ac:dyDescent="0.25">
      <c r="B53" t="e">
        <f>#REF!</f>
        <v>#REF!</v>
      </c>
      <c r="C53">
        <f>RADIO_RxDone_DATA!C53</f>
        <v>0</v>
      </c>
      <c r="D53" s="2">
        <f>RADIO_RxDone_DATA!D53</f>
        <v>0</v>
      </c>
      <c r="E53">
        <f>RADIO_RxDone_DATA!E53</f>
        <v>0</v>
      </c>
      <c r="F53">
        <f>RADIO_RxDone_DATA!F53</f>
        <v>0</v>
      </c>
      <c r="G53" t="str">
        <f>RADIO_RxDone_DATA!G53</f>
        <v>uint8_t</v>
      </c>
      <c r="H53" t="str">
        <f>RADIO_RxDone_DATA!H53</f>
        <v>dataBufferLen</v>
      </c>
      <c r="I53" s="2" t="str">
        <f>RADIO_RxDone_DATA!I53</f>
        <v>REG_LORA_RXNBBYTES</v>
      </c>
      <c r="J53">
        <f>RADIO_RxDone_DATA!J53</f>
        <v>0</v>
      </c>
    </row>
    <row r="54" spans="2:10" x14ac:dyDescent="0.25">
      <c r="B54" t="e">
        <f>#REF!</f>
        <v>#REF!</v>
      </c>
      <c r="C54">
        <f>RADIO_RxDone_DATA!C54</f>
        <v>0</v>
      </c>
      <c r="D54" s="2">
        <f>RADIO_RxDone_DATA!D54</f>
        <v>0</v>
      </c>
      <c r="E54">
        <f>RADIO_RxDone_DATA!E54</f>
        <v>0</v>
      </c>
      <c r="F54">
        <f>RADIO_RxDone_DATA!F54</f>
        <v>0</v>
      </c>
      <c r="G54" t="str">
        <f>RADIO_RxDone_DATA!G54</f>
        <v>uint8_t *</v>
      </c>
      <c r="H54" t="str">
        <f>RADIO_RxDone_DATA!H54</f>
        <v>dataBuffer</v>
      </c>
      <c r="I54" s="2" t="str">
        <f>RADIO_RxDone_DATA!I54</f>
        <v>dane</v>
      </c>
      <c r="J54">
        <f>RADIO_RxDone_DATA!J54</f>
        <v>0</v>
      </c>
    </row>
    <row r="55" spans="2:10" x14ac:dyDescent="0.25">
      <c r="B55" t="e">
        <f>#REF!</f>
        <v>#REF!</v>
      </c>
      <c r="C55">
        <f>RADIO_RxDone_DATA!C55</f>
        <v>0</v>
      </c>
      <c r="D55" s="2">
        <f>RADIO_RxDone_DATA!D55</f>
        <v>0</v>
      </c>
      <c r="E55">
        <f>RADIO_RxDone_DATA!E55</f>
        <v>0</v>
      </c>
      <c r="F55">
        <f>RADIO_RxDone_DATA!F55</f>
        <v>0</v>
      </c>
      <c r="G55" t="str">
        <f>RADIO_RxDone_DATA!G55</f>
        <v>uint8_t</v>
      </c>
      <c r="H55" t="str">
        <f>RADIO_RxDone_DATA!H55</f>
        <v>timeOnAirTimerId</v>
      </c>
      <c r="I55" s="8" t="s">
        <v>66</v>
      </c>
      <c r="J55">
        <f>RADIO_RxDone_DATA!J55</f>
        <v>0</v>
      </c>
    </row>
    <row r="56" spans="2:10" x14ac:dyDescent="0.25">
      <c r="B56" t="e">
        <f>#REF!</f>
        <v>#REF!</v>
      </c>
      <c r="C56">
        <f>RADIO_RxDone_DATA!C56</f>
        <v>0</v>
      </c>
      <c r="D56" s="2">
        <f>RADIO_RxDone_DATA!D56</f>
        <v>0</v>
      </c>
      <c r="E56">
        <f>RADIO_RxDone_DATA!E56</f>
        <v>0</v>
      </c>
      <c r="F56">
        <f>RADIO_RxDone_DATA!F56</f>
        <v>0</v>
      </c>
      <c r="G56" t="str">
        <f>RADIO_RxDone_DATA!G56</f>
        <v>uint8_t</v>
      </c>
      <c r="H56" t="str">
        <f>RADIO_RxDone_DATA!H56</f>
        <v>fskRxWindowTimerId</v>
      </c>
      <c r="I56" s="2" t="str">
        <f>RADIO_RxDone_DATA!I56</f>
        <v>0</v>
      </c>
      <c r="J56" t="str">
        <f>RADIO_RxDone_DATA!J56</f>
        <v>RADIO_RxFSKTimeout</v>
      </c>
    </row>
    <row r="57" spans="2:10" x14ac:dyDescent="0.25">
      <c r="B57" t="e">
        <f>#REF!</f>
        <v>#REF!</v>
      </c>
      <c r="C57" t="e">
        <f>RADIO_RxDone_DATA!#REF!</f>
        <v>#REF!</v>
      </c>
      <c r="D57" s="2" t="e">
        <f>RADIO_RxDone_DATA!#REF!</f>
        <v>#REF!</v>
      </c>
      <c r="E57" t="e">
        <f>RADIO_RxDone_DATA!#REF!</f>
        <v>#REF!</v>
      </c>
      <c r="F57" t="e">
        <f>RADIO_RxDone_DATA!#REF!</f>
        <v>#REF!</v>
      </c>
      <c r="G57" t="e">
        <f>RADIO_RxDone_DATA!#REF!</f>
        <v>#REF!</v>
      </c>
      <c r="H57" t="e">
        <f>RADIO_RxDone_DATA!#REF!</f>
        <v>#REF!</v>
      </c>
      <c r="I57" s="8" t="s">
        <v>66</v>
      </c>
      <c r="J57" t="e">
        <f>RADIO_RxDone_DATA!#REF!</f>
        <v>#REF!</v>
      </c>
    </row>
    <row r="58" spans="2:10" x14ac:dyDescent="0.25">
      <c r="B58" t="e">
        <f>#REF!</f>
        <v>#REF!</v>
      </c>
      <c r="C58" t="e">
        <f>RADIO_RxDone_DATA!#REF!</f>
        <v>#REF!</v>
      </c>
      <c r="D58" s="2" t="e">
        <f>RADIO_RxDone_DATA!#REF!</f>
        <v>#REF!</v>
      </c>
      <c r="E58" t="e">
        <f>RADIO_RxDone_DATA!#REF!</f>
        <v>#REF!</v>
      </c>
      <c r="F58" t="e">
        <f>RADIO_RxDone_DATA!#REF!</f>
        <v>#REF!</v>
      </c>
      <c r="G58" t="e">
        <f>RADIO_RxDone_DATA!#REF!</f>
        <v>#REF!</v>
      </c>
      <c r="H58" t="e">
        <f>RADIO_RxDone_DATA!#REF!</f>
        <v>#REF!</v>
      </c>
      <c r="I58" s="2" t="e">
        <f>RADIO_RxDone_DATA!#REF!</f>
        <v>#REF!</v>
      </c>
      <c r="J58" t="e">
        <f>RADIO_RxDone_DATA!#REF!</f>
        <v>#REF!</v>
      </c>
    </row>
    <row r="59" spans="2:10" x14ac:dyDescent="0.25">
      <c r="B59" t="e">
        <f>#REF!</f>
        <v>#REF!</v>
      </c>
      <c r="C59" t="e">
        <f>RADIO_RxDone_DATA!#REF!</f>
        <v>#REF!</v>
      </c>
      <c r="D59" s="2" t="e">
        <f>RADIO_RxDone_DATA!#REF!</f>
        <v>#REF!</v>
      </c>
      <c r="E59" t="e">
        <f>RADIO_RxDone_DATA!#REF!</f>
        <v>#REF!</v>
      </c>
      <c r="F59" t="e">
        <f>RADIO_RxDone_DATA!#REF!</f>
        <v>#REF!</v>
      </c>
      <c r="G59" t="e">
        <f>RADIO_RxDone_DATA!#REF!</f>
        <v>#REF!</v>
      </c>
      <c r="H59" t="e">
        <f>RADIO_RxDone_DATA!#REF!</f>
        <v>#REF!</v>
      </c>
      <c r="I59" s="2" t="e">
        <f>RADIO_RxDone_DATA!#REF!</f>
        <v>#REF!</v>
      </c>
      <c r="J59" t="e">
        <f>RADIO_RxDone_DATA!#REF!</f>
        <v>#REF!</v>
      </c>
    </row>
    <row r="60" spans="2:10" x14ac:dyDescent="0.25">
      <c r="B60" t="e">
        <f>#REF!</f>
        <v>#REF!</v>
      </c>
      <c r="C60" t="e">
        <f>RADIO_RxDone_DATA!#REF!</f>
        <v>#REF!</v>
      </c>
      <c r="D60" s="2" t="e">
        <f>RADIO_RxDone_DATA!#REF!</f>
        <v>#REF!</v>
      </c>
      <c r="E60" t="e">
        <f>RADIO_RxDone_DATA!#REF!</f>
        <v>#REF!</v>
      </c>
      <c r="F60" t="e">
        <f>RADIO_RxDone_DATA!#REF!</f>
        <v>#REF!</v>
      </c>
      <c r="G60" t="e">
        <f>RADIO_RxDone_DATA!#REF!</f>
        <v>#REF!</v>
      </c>
      <c r="H60" t="e">
        <f>RADIO_RxDone_DATA!#REF!</f>
        <v>#REF!</v>
      </c>
      <c r="I60" s="2" t="e">
        <f>RADIO_RxDone_DATA!#REF!</f>
        <v>#REF!</v>
      </c>
      <c r="J60" t="e">
        <f>RADIO_RxDone_DATA!#REF!</f>
        <v>#REF!</v>
      </c>
    </row>
    <row r="61" spans="2:10" x14ac:dyDescent="0.25">
      <c r="B61" t="e">
        <f>#REF!</f>
        <v>#REF!</v>
      </c>
      <c r="C61" t="e">
        <f>RADIO_RxDone_DATA!#REF!</f>
        <v>#REF!</v>
      </c>
      <c r="D61" s="2" t="e">
        <f>RADIO_RxDone_DATA!#REF!</f>
        <v>#REF!</v>
      </c>
      <c r="E61" t="e">
        <f>RADIO_RxDone_DATA!#REF!</f>
        <v>#REF!</v>
      </c>
      <c r="F61" t="e">
        <f>RADIO_RxDone_DATA!#REF!</f>
        <v>#REF!</v>
      </c>
      <c r="G61" t="e">
        <f>RADIO_RxDone_DATA!#REF!</f>
        <v>#REF!</v>
      </c>
      <c r="H61" t="e">
        <f>RADIO_RxDone_DATA!#REF!</f>
        <v>#REF!</v>
      </c>
      <c r="I61" s="2" t="e">
        <f>RADIO_RxDone_DATA!#REF!</f>
        <v>#REF!</v>
      </c>
      <c r="J61" t="e">
        <f>RADIO_RxDone_DATA!#REF!</f>
        <v>#REF!</v>
      </c>
    </row>
    <row r="62" spans="2:10" x14ac:dyDescent="0.25">
      <c r="B62" t="e">
        <f>#REF!</f>
        <v>#REF!</v>
      </c>
      <c r="C62" t="e">
        <f>RADIO_RxDone_DATA!#REF!</f>
        <v>#REF!</v>
      </c>
      <c r="D62" s="2" t="e">
        <f>RADIO_RxDone_DATA!#REF!</f>
        <v>#REF!</v>
      </c>
      <c r="E62" t="e">
        <f>RADIO_RxDone_DATA!#REF!</f>
        <v>#REF!</v>
      </c>
      <c r="F62" t="e">
        <f>RADIO_RxDone_DATA!#REF!</f>
        <v>#REF!</v>
      </c>
      <c r="G62" t="e">
        <f>RADIO_RxDone_DATA!#REF!</f>
        <v>#REF!</v>
      </c>
      <c r="H62" t="e">
        <f>RADIO_RxDone_DATA!#REF!</f>
        <v>#REF!</v>
      </c>
      <c r="I62" s="2" t="e">
        <f>RADIO_RxDone_DATA!#REF!</f>
        <v>#REF!</v>
      </c>
      <c r="J62" t="e">
        <f>RADIO_RxDone_DATA!#REF!</f>
        <v>#REF!</v>
      </c>
    </row>
    <row r="63" spans="2:10" x14ac:dyDescent="0.25">
      <c r="B63" t="e">
        <f>#REF!</f>
        <v>#REF!</v>
      </c>
      <c r="C63" t="e">
        <f>RADIO_RxDone_DATA!#REF!</f>
        <v>#REF!</v>
      </c>
      <c r="D63" s="2" t="e">
        <f>RADIO_RxDone_DATA!#REF!</f>
        <v>#REF!</v>
      </c>
      <c r="E63" t="e">
        <f>RADIO_RxDone_DATA!#REF!</f>
        <v>#REF!</v>
      </c>
      <c r="F63" t="e">
        <f>RADIO_RxDone_DATA!#REF!</f>
        <v>#REF!</v>
      </c>
      <c r="G63" t="e">
        <f>RADIO_RxDone_DATA!#REF!</f>
        <v>#REF!</v>
      </c>
      <c r="H63" t="e">
        <f>RADIO_RxDone_DATA!#REF!</f>
        <v>#REF!</v>
      </c>
      <c r="I63" s="2" t="e">
        <f>RADIO_RxDone_DATA!#REF!</f>
        <v>#REF!</v>
      </c>
      <c r="J63" t="e">
        <f>RADIO_RxDone_DATA!#REF!</f>
        <v>#REF!</v>
      </c>
    </row>
    <row r="64" spans="2:10" x14ac:dyDescent="0.25">
      <c r="B64" t="e">
        <f>#REF!</f>
        <v>#REF!</v>
      </c>
      <c r="C64" t="e">
        <f>RADIO_RxDone_DATA!#REF!</f>
        <v>#REF!</v>
      </c>
      <c r="D64" s="2" t="e">
        <f>RADIO_RxDone_DATA!#REF!</f>
        <v>#REF!</v>
      </c>
      <c r="E64" t="e">
        <f>RADIO_RxDone_DATA!#REF!</f>
        <v>#REF!</v>
      </c>
      <c r="F64" t="e">
        <f>RADIO_RxDone_DATA!#REF!</f>
        <v>#REF!</v>
      </c>
      <c r="G64" t="e">
        <f>RADIO_RxDone_DATA!#REF!</f>
        <v>#REF!</v>
      </c>
      <c r="H64" t="e">
        <f>RADIO_RxDone_DATA!#REF!</f>
        <v>#REF!</v>
      </c>
      <c r="I64" s="2" t="e">
        <f>RADIO_RxDone_DATA!#REF!</f>
        <v>#REF!</v>
      </c>
      <c r="J64" t="e">
        <f>RADIO_RxDone_DATA!#REF!</f>
        <v>#REF!</v>
      </c>
    </row>
    <row r="65" spans="2:10" x14ac:dyDescent="0.25">
      <c r="B65" t="e">
        <f>#REF!</f>
        <v>#REF!</v>
      </c>
      <c r="C65" t="e">
        <f>RADIO_RxDone_DATA!#REF!</f>
        <v>#REF!</v>
      </c>
      <c r="D65" s="2" t="e">
        <f>RADIO_RxDone_DATA!#REF!</f>
        <v>#REF!</v>
      </c>
      <c r="E65" t="e">
        <f>RADIO_RxDone_DATA!#REF!</f>
        <v>#REF!</v>
      </c>
      <c r="F65" t="e">
        <f>RADIO_RxDone_DATA!#REF!</f>
        <v>#REF!</v>
      </c>
      <c r="G65" t="e">
        <f>RADIO_RxDone_DATA!#REF!</f>
        <v>#REF!</v>
      </c>
      <c r="H65" t="e">
        <f>RADIO_RxDone_DATA!#REF!</f>
        <v>#REF!</v>
      </c>
      <c r="I65" s="2" t="e">
        <f>RADIO_RxDone_DATA!#REF!</f>
        <v>#REF!</v>
      </c>
      <c r="J65" t="e">
        <f>RADIO_RxDone_DATA!#REF!</f>
        <v>#REF!</v>
      </c>
    </row>
    <row r="66" spans="2:10" x14ac:dyDescent="0.25">
      <c r="B66" t="e">
        <f>#REF!</f>
        <v>#REF!</v>
      </c>
      <c r="C66" t="e">
        <f>RADIO_RxDone_DATA!#REF!</f>
        <v>#REF!</v>
      </c>
      <c r="D66" s="2" t="e">
        <f>RADIO_RxDone_DATA!#REF!</f>
        <v>#REF!</v>
      </c>
      <c r="E66" t="e">
        <f>RADIO_RxDone_DATA!#REF!</f>
        <v>#REF!</v>
      </c>
      <c r="F66" t="e">
        <f>RADIO_RxDone_DATA!#REF!</f>
        <v>#REF!</v>
      </c>
      <c r="G66" t="e">
        <f>RADIO_RxDone_DATA!#REF!</f>
        <v>#REF!</v>
      </c>
      <c r="H66" t="e">
        <f>RADIO_RxDone_DATA!#REF!</f>
        <v>#REF!</v>
      </c>
      <c r="I66" s="2" t="e">
        <f>RADIO_RxDone_DATA!#REF!</f>
        <v>#REF!</v>
      </c>
      <c r="J66" t="e">
        <f>RADIO_RxDone_DATA!#REF!</f>
        <v>#REF!</v>
      </c>
    </row>
    <row r="67" spans="2:10" x14ac:dyDescent="0.25">
      <c r="B67" t="e">
        <f>#REF!</f>
        <v>#REF!</v>
      </c>
      <c r="C67" t="e">
        <f>RADIO_RxDone_DATA!#REF!</f>
        <v>#REF!</v>
      </c>
      <c r="D67" s="2" t="e">
        <f>RADIO_RxDone_DATA!#REF!</f>
        <v>#REF!</v>
      </c>
      <c r="E67" t="e">
        <f>RADIO_RxDone_DATA!#REF!</f>
        <v>#REF!</v>
      </c>
      <c r="F67" t="e">
        <f>RADIO_RxDone_DATA!#REF!</f>
        <v>#REF!</v>
      </c>
      <c r="G67" t="e">
        <f>RADIO_RxDone_DATA!#REF!</f>
        <v>#REF!</v>
      </c>
      <c r="H67" t="e">
        <f>RADIO_RxDone_DATA!#REF!</f>
        <v>#REF!</v>
      </c>
      <c r="I67" s="2" t="e">
        <f>RADIO_RxDone_DATA!#REF!</f>
        <v>#REF!</v>
      </c>
      <c r="J67" t="e">
        <f>RADIO_RxDone_DATA!#REF!</f>
        <v>#REF!</v>
      </c>
    </row>
    <row r="68" spans="2:10" x14ac:dyDescent="0.25">
      <c r="B68" t="e">
        <f>#REF!</f>
        <v>#REF!</v>
      </c>
      <c r="C68" t="e">
        <f>RADIO_RxDone_DATA!#REF!</f>
        <v>#REF!</v>
      </c>
      <c r="D68" s="2" t="e">
        <f>RADIO_RxDone_DATA!#REF!</f>
        <v>#REF!</v>
      </c>
      <c r="E68" t="e">
        <f>RADIO_RxDone_DATA!#REF!</f>
        <v>#REF!</v>
      </c>
      <c r="F68" t="e">
        <f>RADIO_RxDone_DATA!#REF!</f>
        <v>#REF!</v>
      </c>
      <c r="G68" t="e">
        <f>RADIO_RxDone_DATA!#REF!</f>
        <v>#REF!</v>
      </c>
      <c r="H68" t="e">
        <f>RADIO_RxDone_DATA!#REF!</f>
        <v>#REF!</v>
      </c>
      <c r="I68" s="2" t="e">
        <f>RADIO_RxDone_DATA!#REF!</f>
        <v>#REF!</v>
      </c>
      <c r="J68" t="e">
        <f>RADIO_RxDone_DATA!#REF!</f>
        <v>#REF!</v>
      </c>
    </row>
    <row r="69" spans="2:10" x14ac:dyDescent="0.25">
      <c r="B69" t="e">
        <f>#REF!</f>
        <v>#REF!</v>
      </c>
      <c r="C69" t="e">
        <f>RADIO_RxDone_DATA!#REF!</f>
        <v>#REF!</v>
      </c>
      <c r="D69" s="2" t="e">
        <f>RADIO_RxDone_DATA!#REF!</f>
        <v>#REF!</v>
      </c>
      <c r="E69" t="e">
        <f>RADIO_RxDone_DATA!#REF!</f>
        <v>#REF!</v>
      </c>
      <c r="F69" t="e">
        <f>RADIO_RxDone_DATA!#REF!</f>
        <v>#REF!</v>
      </c>
      <c r="G69" t="e">
        <f>RADIO_RxDone_DATA!#REF!</f>
        <v>#REF!</v>
      </c>
      <c r="H69" t="e">
        <f>RADIO_RxDone_DATA!#REF!</f>
        <v>#REF!</v>
      </c>
      <c r="I69" s="2" t="e">
        <f>RADIO_RxDone_DATA!#REF!</f>
        <v>#REF!</v>
      </c>
      <c r="J69" t="e">
        <f>RADIO_RxDone_DATA!#REF!</f>
        <v>#REF!</v>
      </c>
    </row>
    <row r="70" spans="2:10" x14ac:dyDescent="0.25">
      <c r="B70" t="e">
        <f>#REF!</f>
        <v>#REF!</v>
      </c>
      <c r="C70" t="e">
        <f>RADIO_RxDone_DATA!#REF!</f>
        <v>#REF!</v>
      </c>
      <c r="D70" s="2" t="e">
        <f>RADIO_RxDone_DATA!#REF!</f>
        <v>#REF!</v>
      </c>
      <c r="E70" t="e">
        <f>RADIO_RxDone_DATA!#REF!</f>
        <v>#REF!</v>
      </c>
      <c r="F70" t="e">
        <f>RADIO_RxDone_DATA!#REF!</f>
        <v>#REF!</v>
      </c>
      <c r="G70" t="e">
        <f>RADIO_RxDone_DATA!#REF!</f>
        <v>#REF!</v>
      </c>
      <c r="H70" t="e">
        <f>RADIO_RxDone_DATA!#REF!</f>
        <v>#REF!</v>
      </c>
      <c r="I70" s="2" t="e">
        <f>RADIO_RxDone_DATA!#REF!</f>
        <v>#REF!</v>
      </c>
      <c r="J70" t="e">
        <f>RADIO_RxDone_DATA!#REF!</f>
        <v>#REF!</v>
      </c>
    </row>
    <row r="71" spans="2:10" x14ac:dyDescent="0.25">
      <c r="B71" t="e">
        <f>#REF!</f>
        <v>#REF!</v>
      </c>
      <c r="C71" t="e">
        <f>RADIO_RxDone_DATA!#REF!</f>
        <v>#REF!</v>
      </c>
      <c r="D71" s="2" t="e">
        <f>RADIO_RxDone_DATA!#REF!</f>
        <v>#REF!</v>
      </c>
      <c r="E71" t="e">
        <f>RADIO_RxDone_DATA!#REF!</f>
        <v>#REF!</v>
      </c>
      <c r="F71" t="e">
        <f>RADIO_RxDone_DATA!#REF!</f>
        <v>#REF!</v>
      </c>
      <c r="G71" t="e">
        <f>RADIO_RxDone_DATA!#REF!</f>
        <v>#REF!</v>
      </c>
      <c r="H71" t="e">
        <f>RADIO_RxDone_DATA!#REF!</f>
        <v>#REF!</v>
      </c>
      <c r="I71" s="2" t="e">
        <f>RADIO_RxDone_DATA!#REF!</f>
        <v>#REF!</v>
      </c>
      <c r="J71" t="e">
        <f>RADIO_RxDone_DATA!#REF!</f>
        <v>#REF!</v>
      </c>
    </row>
    <row r="72" spans="2:10" x14ac:dyDescent="0.25">
      <c r="B72" t="e">
        <f>#REF!</f>
        <v>#REF!</v>
      </c>
      <c r="C72" t="e">
        <f>RADIO_RxDone_DATA!#REF!</f>
        <v>#REF!</v>
      </c>
      <c r="D72" s="2" t="e">
        <f>RADIO_RxDone_DATA!#REF!</f>
        <v>#REF!</v>
      </c>
      <c r="E72" t="e">
        <f>RADIO_RxDone_DATA!#REF!</f>
        <v>#REF!</v>
      </c>
      <c r="F72" t="e">
        <f>RADIO_RxDone_DATA!#REF!</f>
        <v>#REF!</v>
      </c>
      <c r="G72" t="e">
        <f>RADIO_RxDone_DATA!#REF!</f>
        <v>#REF!</v>
      </c>
      <c r="H72" t="e">
        <f>RADIO_RxDone_DATA!#REF!</f>
        <v>#REF!</v>
      </c>
      <c r="I72" s="2" t="e">
        <f>RADIO_RxDone_DATA!#REF!</f>
        <v>#REF!</v>
      </c>
      <c r="J72" t="e">
        <f>RADIO_RxDone_DATA!#REF!</f>
        <v>#REF!</v>
      </c>
    </row>
    <row r="73" spans="2:10" x14ac:dyDescent="0.25">
      <c r="B73" t="e">
        <f>#REF!</f>
        <v>#REF!</v>
      </c>
      <c r="C73" t="e">
        <f>RADIO_RxDone_DATA!#REF!</f>
        <v>#REF!</v>
      </c>
      <c r="D73" s="2" t="e">
        <f>RADIO_RxDone_DATA!#REF!</f>
        <v>#REF!</v>
      </c>
      <c r="E73" t="e">
        <f>RADIO_RxDone_DATA!#REF!</f>
        <v>#REF!</v>
      </c>
      <c r="F73" t="e">
        <f>RADIO_RxDone_DATA!#REF!</f>
        <v>#REF!</v>
      </c>
      <c r="G73" t="e">
        <f>RADIO_RxDone_DATA!#REF!</f>
        <v>#REF!</v>
      </c>
      <c r="H73" t="e">
        <f>RADIO_RxDone_DATA!#REF!</f>
        <v>#REF!</v>
      </c>
      <c r="I73" s="2" t="e">
        <f>RADIO_RxDone_DATA!#REF!</f>
        <v>#REF!</v>
      </c>
      <c r="J73" t="e">
        <f>RADIO_RxDone_DATA!#REF!</f>
        <v>#REF!</v>
      </c>
    </row>
    <row r="74" spans="2:10" x14ac:dyDescent="0.25">
      <c r="B74" t="e">
        <f>#REF!</f>
        <v>#REF!</v>
      </c>
      <c r="C74" t="e">
        <f>RADIO_RxDone_DATA!#REF!</f>
        <v>#REF!</v>
      </c>
      <c r="D74" s="2" t="e">
        <f>RADIO_RxDone_DATA!#REF!</f>
        <v>#REF!</v>
      </c>
      <c r="E74" t="e">
        <f>RADIO_RxDone_DATA!#REF!</f>
        <v>#REF!</v>
      </c>
      <c r="F74" t="e">
        <f>RADIO_RxDone_DATA!#REF!</f>
        <v>#REF!</v>
      </c>
      <c r="G74" t="e">
        <f>RADIO_RxDone_DATA!#REF!</f>
        <v>#REF!</v>
      </c>
      <c r="H74" t="e">
        <f>RADIO_RxDone_DATA!#REF!</f>
        <v>#REF!</v>
      </c>
      <c r="I74" s="2" t="e">
        <f>RADIO_RxDone_DATA!#REF!</f>
        <v>#REF!</v>
      </c>
      <c r="J74" t="e">
        <f>RADIO_RxDone_DATA!#REF!</f>
        <v>#REF!</v>
      </c>
    </row>
    <row r="75" spans="2:10" x14ac:dyDescent="0.25">
      <c r="B75" t="e">
        <f>#REF!</f>
        <v>#REF!</v>
      </c>
      <c r="C75" t="e">
        <f>RADIO_RxDone_DATA!#REF!</f>
        <v>#REF!</v>
      </c>
      <c r="D75" s="2" t="e">
        <f>RADIO_RxDone_DATA!#REF!</f>
        <v>#REF!</v>
      </c>
      <c r="E75" t="e">
        <f>RADIO_RxDone_DATA!#REF!</f>
        <v>#REF!</v>
      </c>
      <c r="F75" t="e">
        <f>RADIO_RxDone_DATA!#REF!</f>
        <v>#REF!</v>
      </c>
      <c r="G75" t="e">
        <f>RADIO_RxDone_DATA!#REF!</f>
        <v>#REF!</v>
      </c>
      <c r="H75" t="e">
        <f>RADIO_RxDone_DATA!#REF!</f>
        <v>#REF!</v>
      </c>
      <c r="I75" s="2" t="e">
        <f>RADIO_RxDone_DATA!#REF!</f>
        <v>#REF!</v>
      </c>
      <c r="J75" t="e">
        <f>RADIO_RxDone_DATA!#REF!</f>
        <v>#REF!</v>
      </c>
    </row>
    <row r="76" spans="2:10" x14ac:dyDescent="0.25">
      <c r="B76" t="e">
        <f>#REF!</f>
        <v>#REF!</v>
      </c>
      <c r="C76" t="e">
        <f>RADIO_RxDone_DATA!#REF!</f>
        <v>#REF!</v>
      </c>
      <c r="D76" s="2" t="e">
        <f>RADIO_RxDone_DATA!#REF!</f>
        <v>#REF!</v>
      </c>
      <c r="E76" t="e">
        <f>RADIO_RxDone_DATA!#REF!</f>
        <v>#REF!</v>
      </c>
      <c r="F76" t="e">
        <f>RADIO_RxDone_DATA!#REF!</f>
        <v>#REF!</v>
      </c>
      <c r="G76" t="e">
        <f>RADIO_RxDone_DATA!#REF!</f>
        <v>#REF!</v>
      </c>
      <c r="H76" t="e">
        <f>RADIO_RxDone_DATA!#REF!</f>
        <v>#REF!</v>
      </c>
      <c r="I76" s="2" t="e">
        <f>RADIO_RxDone_DATA!#REF!</f>
        <v>#REF!</v>
      </c>
      <c r="J76" t="e">
        <f>RADIO_RxDone_DATA!#REF!</f>
        <v>#REF!</v>
      </c>
    </row>
    <row r="77" spans="2:10" x14ac:dyDescent="0.25">
      <c r="B77" t="e">
        <f>#REF!</f>
        <v>#REF!</v>
      </c>
      <c r="C77">
        <f>RADIO_RxDone_DATA!C57</f>
        <v>0</v>
      </c>
      <c r="D77" s="2">
        <f>RADIO_RxDone_DATA!D57</f>
        <v>0</v>
      </c>
      <c r="E77">
        <f>RADIO_RxDone_DATA!E57</f>
        <v>0</v>
      </c>
      <c r="F77">
        <f>RADIO_RxDone_DATA!F57</f>
        <v>0</v>
      </c>
      <c r="G77" t="str">
        <f>RADIO_RxDone_DATA!G57</f>
        <v>uint8_t</v>
      </c>
      <c r="H77" t="str">
        <f>RADIO_RxDone_DATA!H57</f>
        <v>watchdogTimerId</v>
      </c>
      <c r="I77" s="2" t="str">
        <f>RADIO_RxDone_DATA!I57</f>
        <v>WATCHDOG_DEFAULT_TIME</v>
      </c>
      <c r="J77" t="str">
        <f>RADIO_RxDone_DATA!J57</f>
        <v>RADIO_WatchdogTimeout</v>
      </c>
    </row>
    <row r="78" spans="2:10" x14ac:dyDescent="0.25">
      <c r="B78" t="e">
        <f>#REF!</f>
        <v>#REF!</v>
      </c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2:10" x14ac:dyDescent="0.25">
      <c r="E79"/>
    </row>
  </sheetData>
  <hyperlinks>
    <hyperlink ref="B9" location="RADIO_RxDone_DATA!C1" display="LoRa_Rx_Done_DATA" xr:uid="{62D973D6-6FC2-42BB-8DEE-2BACE8874969}"/>
  </hyperlinks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C47E0-EC6C-4126-95C0-3111564577BE}">
  <sheetPr codeName="Arkusz15"/>
  <dimension ref="B1:J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159</v>
      </c>
      <c r="D1" s="2" t="s">
        <v>7</v>
      </c>
      <c r="E1" s="2" t="s">
        <v>8</v>
      </c>
      <c r="I1" s="2" t="s">
        <v>3</v>
      </c>
    </row>
    <row r="3" spans="2:10" x14ac:dyDescent="0.25">
      <c r="B3" t="e">
        <f>#REF!</f>
        <v>#REF!</v>
      </c>
      <c r="C3" t="str">
        <f>RADIO_RxDone_DATA!C3</f>
        <v>LoRa_transmitStatus</v>
      </c>
      <c r="D3" s="2" t="str">
        <f>RADIO_RxDone_DATA!D3</f>
        <v>LoRa_SendData_RX</v>
      </c>
      <c r="E3">
        <f>RADIO_RxDone_DATA!E3</f>
        <v>0</v>
      </c>
      <c r="F3">
        <f>RADIO_RxDone_DATA!F3</f>
        <v>0</v>
      </c>
      <c r="G3" t="str">
        <f>RADIO_RxDone_DATA!G3</f>
        <v>LoRaMacState_t</v>
      </c>
      <c r="H3" t="str">
        <f>RADIO_RxDone_DATA!H3</f>
        <v>LoRa_transmitStatus</v>
      </c>
      <c r="I3" s="2" t="str">
        <f>RADIO_RxDone_DATA!I3</f>
        <v>LoRa_SendData_RX</v>
      </c>
      <c r="J3">
        <f>RADIO_RxDone_DATA!J3</f>
        <v>0</v>
      </c>
    </row>
    <row r="4" spans="2:10" x14ac:dyDescent="0.25">
      <c r="B4" t="e">
        <f>#REF!</f>
        <v>#REF!</v>
      </c>
      <c r="C4" t="str">
        <f>RADIO_RxDone_DATA!C4</f>
        <v>LoRa_StatusDanych</v>
      </c>
      <c r="D4" s="2" t="str">
        <f>RADIO_RxDone_DATA!D4</f>
        <v>LoRa_transmiting</v>
      </c>
      <c r="E4">
        <f>RADIO_RxDone_DATA!E4</f>
        <v>0</v>
      </c>
      <c r="F4">
        <f>RADIO_RxDone_DATA!F4</f>
        <v>0</v>
      </c>
      <c r="G4" t="str">
        <f>RADIO_RxDone_DATA!G4</f>
        <v>LoRaStatus_t</v>
      </c>
      <c r="H4" t="str">
        <f>RADIO_RxDone_DATA!H4</f>
        <v>LoRa_StatusDanych</v>
      </c>
      <c r="I4" s="2" t="str">
        <f>RADIO_RxDone_DATA!I4</f>
        <v>LoRa_transmiting</v>
      </c>
      <c r="J4">
        <f>RADIO_RxDone_DATA!J4</f>
        <v>0</v>
      </c>
    </row>
    <row r="5" spans="2:10" x14ac:dyDescent="0.25">
      <c r="B5" t="e">
        <f>#REF!</f>
        <v>#REF!</v>
      </c>
      <c r="C5" t="str">
        <f>RADIO_RxDone_DATA!C5</f>
        <v>flags</v>
      </c>
      <c r="D5" s="2">
        <f>RADIO_RxDone_DATA!E5</f>
        <v>0</v>
      </c>
      <c r="E5"/>
      <c r="F5">
        <f>RADIO_RxDone_DATA!F5</f>
        <v>0</v>
      </c>
      <c r="G5" t="str">
        <f>RADIO_RxDone_DATA!G5</f>
        <v>bool</v>
      </c>
      <c r="H5" t="str">
        <f>RADIO_RxDone_DATA!H5</f>
        <v>LoRa_initialised</v>
      </c>
      <c r="I5" s="2" t="str">
        <f>RADIO_RxDone_DATA!I5</f>
        <v>ENABLED</v>
      </c>
      <c r="J5">
        <f>RADIO_RxDone_DATA!J5</f>
        <v>0</v>
      </c>
    </row>
    <row r="6" spans="2:10" x14ac:dyDescent="0.25">
      <c r="B6" t="e">
        <f>#REF!</f>
        <v>#REF!</v>
      </c>
      <c r="C6">
        <f>RADIO_RxDone_DATA!C6</f>
        <v>0</v>
      </c>
      <c r="D6" s="2">
        <f>RADIO_RxDone_DATA!D6</f>
        <v>0</v>
      </c>
      <c r="E6">
        <f>RADIO_RxDone_DATA!E6</f>
        <v>0</v>
      </c>
      <c r="F6">
        <f>RADIO_RxDone_DATA!F6</f>
        <v>0</v>
      </c>
      <c r="G6" t="str">
        <f>RADIO_RxDone_DATA!G6</f>
        <v>FCnt_t</v>
      </c>
      <c r="H6" t="str">
        <f>RADIO_RxDone_DATA!H6</f>
        <v>LoRa_Counter</v>
      </c>
      <c r="I6" s="2" t="str">
        <f>RADIO_RxDone_DATA!I6</f>
        <v>++</v>
      </c>
      <c r="J6">
        <f>RADIO_RxDone_DATA!J6</f>
        <v>0</v>
      </c>
    </row>
    <row r="7" spans="2:10" x14ac:dyDescent="0.25">
      <c r="B7" t="e">
        <f>#REF!</f>
        <v>#REF!</v>
      </c>
      <c r="C7" s="16"/>
      <c r="D7" s="25"/>
      <c r="E7" s="17"/>
      <c r="F7" s="18"/>
      <c r="G7" t="str">
        <f>RADIO_RxDone_DATA!G7</f>
        <v>uint8_t</v>
      </c>
      <c r="H7" t="str">
        <f>RADIO_RxDone_DATA!H7</f>
        <v>LoRa_Addres</v>
      </c>
      <c r="I7" s="2" t="str">
        <f>RADIO_RxDone_DATA!I7</f>
        <v>LoRaDeviceAddress</v>
      </c>
      <c r="J7">
        <f>RADIO_RxDone_DATA!J7</f>
        <v>0</v>
      </c>
    </row>
    <row r="8" spans="2:10" x14ac:dyDescent="0.25">
      <c r="B8" t="e">
        <f>#REF!</f>
        <v>#REF!</v>
      </c>
      <c r="C8" s="19"/>
      <c r="D8" s="26"/>
      <c r="E8" s="20"/>
      <c r="F8" s="21"/>
      <c r="G8" t="str">
        <f>RADIO_RxDone_DATA!G8</f>
        <v>uint8_t</v>
      </c>
      <c r="H8" t="str">
        <f>RADIO_RxDone_DATA!H8</f>
        <v>LoRa_TimerHandshaking</v>
      </c>
      <c r="I8" s="2" t="str">
        <f>RADIO_RxDone_DATA!I8</f>
        <v>0</v>
      </c>
      <c r="J8" t="str">
        <f>RADIO_RxDone_DATA!J8</f>
        <v>LoRa_TimerHandshakingCallback</v>
      </c>
    </row>
    <row r="9" spans="2:10" x14ac:dyDescent="0.25">
      <c r="B9" s="3" t="s">
        <v>162</v>
      </c>
      <c r="C9" s="19"/>
      <c r="D9" s="26"/>
      <c r="E9" s="20"/>
      <c r="F9" s="21"/>
      <c r="G9" t="str">
        <f>RADIO_RxDone_DATA!G9</f>
        <v>uint8_t</v>
      </c>
      <c r="H9" t="str">
        <f>RADIO_RxDone_DATA!H9</f>
        <v>LoRa_TimerRetransmit</v>
      </c>
      <c r="I9" s="2" t="str">
        <f>RADIO_RxDone_DATA!I9</f>
        <v>0</v>
      </c>
      <c r="J9" t="str">
        <f>RADIO_RxDone_DATA!J9</f>
        <v>LoRa_TimerRetransmitCallback</v>
      </c>
    </row>
    <row r="10" spans="2:10" x14ac:dyDescent="0.25">
      <c r="B10" t="e">
        <f>#REF!</f>
        <v>#REF!</v>
      </c>
      <c r="C10" s="19"/>
      <c r="D10" s="26"/>
      <c r="E10" s="20"/>
      <c r="F10" s="21"/>
      <c r="G10" t="str">
        <f>RADIO_RxDone_DATA!G10</f>
        <v>uint8_t</v>
      </c>
      <c r="H10" t="str">
        <f>RADIO_RxDone_DATA!H10</f>
        <v>LoRa_TimerWaitAck</v>
      </c>
      <c r="I10" s="2" t="str">
        <f>RADIO_RxDone_DATA!I10</f>
        <v>LoRa_Transmit_timeout</v>
      </c>
      <c r="J10" t="str">
        <f>RADIO_RxDone_DATA!J10</f>
        <v>LoRa_TimerWaitAckCallback</v>
      </c>
    </row>
    <row r="11" spans="2:10" x14ac:dyDescent="0.25">
      <c r="B11" t="e">
        <f>#REF!</f>
        <v>#REF!</v>
      </c>
      <c r="C11" s="19"/>
      <c r="D11" s="26"/>
      <c r="E11" s="20"/>
      <c r="F11" s="21"/>
      <c r="G11" t="str">
        <f>RADIO_RxDone_DATA!G11</f>
        <v>uint8_t</v>
      </c>
      <c r="H11" t="str">
        <f>RADIO_RxDone_DATA!H11</f>
        <v>LoRa_HeaderBufor</v>
      </c>
      <c r="I11" s="2" t="str">
        <f>RADIO_RxDone_DATA!I11</f>
        <v>LoRa_Addres, nxt_channel</v>
      </c>
      <c r="J11">
        <f>RADIO_RxDone_DATA!J11</f>
        <v>0</v>
      </c>
    </row>
    <row r="12" spans="2:10" x14ac:dyDescent="0.25">
      <c r="B12" t="e">
        <f>#REF!</f>
        <v>#REF!</v>
      </c>
      <c r="C12" s="19"/>
      <c r="D12" s="26"/>
      <c r="E12" s="20"/>
      <c r="F12" s="21"/>
      <c r="G12" t="str">
        <f>RADIO_RxDone_DATA!G12</f>
        <v>uint8_t</v>
      </c>
      <c r="H12" t="str">
        <f>RADIO_RxDone_DATA!H12</f>
        <v>LoRa_HeaderLength</v>
      </c>
      <c r="I12" s="2" t="str">
        <f>RADIO_RxDone_DATA!I12</f>
        <v>bufferHeadIndex</v>
      </c>
      <c r="J12">
        <f>RADIO_RxDone_DATA!J12</f>
        <v>0</v>
      </c>
    </row>
    <row r="13" spans="2:10" x14ac:dyDescent="0.25">
      <c r="B13" t="e">
        <f>#REF!</f>
        <v>#REF!</v>
      </c>
      <c r="C13" s="19"/>
      <c r="D13" s="26"/>
      <c r="E13" s="20"/>
      <c r="F13" s="21"/>
      <c r="G13" t="str">
        <f>RADIO_RxDone_DATA!G13</f>
        <v>uint8_t</v>
      </c>
      <c r="H13" t="str">
        <f>RADIO_RxDone_DATA!H13</f>
        <v>LoRa_Bufor</v>
      </c>
      <c r="I13" s="2" t="str">
        <f>RADIO_RxDone_DATA!I13</f>
        <v>bufferIndex, nxt_channel, data, CRC</v>
      </c>
      <c r="J13">
        <f>RADIO_RxDone_DATA!J13</f>
        <v>0</v>
      </c>
    </row>
    <row r="14" spans="2:10" x14ac:dyDescent="0.25">
      <c r="B14" t="e">
        <f>#REF!</f>
        <v>#REF!</v>
      </c>
      <c r="C14" s="19"/>
      <c r="D14" s="26"/>
      <c r="E14" s="20"/>
      <c r="F14" s="21"/>
      <c r="G14" t="str">
        <f>RADIO_RxDone_DATA!G14</f>
        <v>uint8_t</v>
      </c>
      <c r="H14" t="str">
        <f>RADIO_RxDone_DATA!H14</f>
        <v>LoRa_BuforLength</v>
      </c>
      <c r="I14" s="2" t="str">
        <f>RADIO_RxDone_DATA!I14</f>
        <v>bufferIndex</v>
      </c>
      <c r="J14">
        <f>RADIO_RxDone_DATA!J14</f>
        <v>0</v>
      </c>
    </row>
    <row r="15" spans="2:10" x14ac:dyDescent="0.25">
      <c r="B15" t="e">
        <f>#REF!</f>
        <v>#REF!</v>
      </c>
      <c r="C15" s="19"/>
      <c r="D15" s="26"/>
      <c r="E15" s="20"/>
      <c r="F15" s="21"/>
      <c r="G15" t="str">
        <f>RADIO_RxDone_DATA!G15</f>
        <v>uint8_t</v>
      </c>
      <c r="H15" t="str">
        <f>RADIO_RxDone_DATA!H15</f>
        <v>LoRa_Command</v>
      </c>
      <c r="I15" s="2" t="str">
        <f>RADIO_RxDone_DATA!I15</f>
        <v>buffer[1]</v>
      </c>
      <c r="J15">
        <f>RADIO_RxDone_DATA!J15</f>
        <v>0</v>
      </c>
    </row>
    <row r="16" spans="2:10" x14ac:dyDescent="0.25">
      <c r="B16" t="e">
        <f>#REF!</f>
        <v>#REF!</v>
      </c>
      <c r="C16" s="19"/>
      <c r="D16" s="26"/>
      <c r="E16" s="20"/>
      <c r="F16" s="21"/>
      <c r="G16" t="str">
        <f>RADIO_RxDone_DATA!G16</f>
        <v>uint8_t</v>
      </c>
      <c r="H16" t="str">
        <f>RADIO_RxDone_DATA!H16</f>
        <v>LoRa_maxChannels</v>
      </c>
      <c r="I16" s="2" t="str">
        <f>RADIO_RxDone_DATA!I16</f>
        <v>MAX_EU_SINGLE_BAND_CHANNELS</v>
      </c>
      <c r="J16">
        <f>RADIO_RxDone_DATA!J16</f>
        <v>0</v>
      </c>
    </row>
    <row r="17" spans="2:10" x14ac:dyDescent="0.25">
      <c r="B17" t="e">
        <f>#REF!</f>
        <v>#REF!</v>
      </c>
      <c r="C17" s="19"/>
      <c r="D17" s="26"/>
      <c r="E17" s="20"/>
      <c r="F17" s="21"/>
      <c r="G17" t="str">
        <f>RADIO_RxDone_DATA!G17</f>
        <v>uint8_t</v>
      </c>
      <c r="H17" t="str">
        <f>RADIO_RxDone_DATA!H17</f>
        <v>LoRa_lastUsedChannelIndex</v>
      </c>
      <c r="I17" s="2" t="str">
        <f>RADIO_RxDone_DATA!I17</f>
        <v>channelRx</v>
      </c>
      <c r="J17">
        <f>RADIO_RxDone_DATA!J17</f>
        <v>0</v>
      </c>
    </row>
    <row r="18" spans="2:10" x14ac:dyDescent="0.25">
      <c r="B18" t="e">
        <f>#REF!</f>
        <v>#REF!</v>
      </c>
      <c r="C18" s="19"/>
      <c r="D18" s="26"/>
      <c r="E18" s="20"/>
      <c r="F18" s="21"/>
      <c r="G18" t="str">
        <f>RADIO_RxDone_DATA!G18</f>
        <v>ReceiveWindowParameters_t</v>
      </c>
      <c r="H18" t="str">
        <f>RADIO_RxDone_DATA!H18</f>
        <v>LoRa_ch0_params.frequency</v>
      </c>
      <c r="I18" s="2" t="str">
        <f>RADIO_RxDone_DATA!I18</f>
        <v>LoRa_CH0_frequency</v>
      </c>
      <c r="J18">
        <f>RADIO_RxDone_DATA!J18</f>
        <v>0</v>
      </c>
    </row>
    <row r="19" spans="2:10" x14ac:dyDescent="0.25">
      <c r="B19" t="e">
        <f>#REF!</f>
        <v>#REF!</v>
      </c>
      <c r="C19" s="19"/>
      <c r="D19" s="26"/>
      <c r="E19" s="20"/>
      <c r="F19" s="21"/>
      <c r="G19">
        <f>RADIO_RxDone_DATA!G19</f>
        <v>0</v>
      </c>
      <c r="H19" t="str">
        <f>RADIO_RxDone_DATA!H19</f>
        <v>LoRa_ch0_params.datarate</v>
      </c>
      <c r="I19" s="2" t="str">
        <f>RADIO_RxDone_DATA!I19</f>
        <v>LoRa_CH0_datarate</v>
      </c>
      <c r="J19">
        <f>RADIO_RxDone_DATA!J19</f>
        <v>0</v>
      </c>
    </row>
    <row r="20" spans="2:10" x14ac:dyDescent="0.25">
      <c r="B20" t="e">
        <f>#REF!</f>
        <v>#REF!</v>
      </c>
      <c r="C20" s="19"/>
      <c r="D20" s="26"/>
      <c r="E20" s="20"/>
      <c r="F20" s="21"/>
      <c r="G20" t="str">
        <f>RADIO_RxDone_DATA!G20</f>
        <v>ReceiveWindowParameters_t</v>
      </c>
      <c r="H20" t="str">
        <f>RADIO_RxDone_DATA!H20</f>
        <v>LoRa_receiveChannelParameters.frequency</v>
      </c>
      <c r="I20" s="2" t="str">
        <f>RADIO_RxDone_DATA!I20</f>
        <v>LoRa_Channels[channelRxIndex].frequency</v>
      </c>
      <c r="J20">
        <f>RADIO_RxDone_DATA!J20</f>
        <v>0</v>
      </c>
    </row>
    <row r="21" spans="2:10" x14ac:dyDescent="0.25">
      <c r="B21" t="e">
        <f>#REF!</f>
        <v>#REF!</v>
      </c>
      <c r="C21" s="19"/>
      <c r="D21" s="26"/>
      <c r="E21" s="20"/>
      <c r="F21" s="21"/>
      <c r="G21">
        <f>RADIO_RxDone_DATA!G21</f>
        <v>0</v>
      </c>
      <c r="H21" t="str">
        <f>RADIO_RxDone_DATA!H21</f>
        <v>LoRa_receiveChannelParameters.dataRate</v>
      </c>
      <c r="I21" s="2" t="str">
        <f>RADIO_RxDone_DATA!I21</f>
        <v>LoRa_currentDataRate</v>
      </c>
      <c r="J21">
        <f>RADIO_RxDone_DATA!J21</f>
        <v>0</v>
      </c>
    </row>
    <row r="22" spans="2:10" x14ac:dyDescent="0.25">
      <c r="B22" t="e">
        <f>#REF!</f>
        <v>#REF!</v>
      </c>
      <c r="C22" s="19"/>
      <c r="D22" s="26"/>
      <c r="E22" s="20"/>
      <c r="F22" s="21"/>
      <c r="G22" t="str">
        <f>RADIO_RxDone_DATA!G22</f>
        <v>ReceiveWindowParameters_t</v>
      </c>
      <c r="H22" t="str">
        <f>RADIO_RxDone_DATA!H22</f>
        <v>LoRa_sendChannelParameters.frequency</v>
      </c>
      <c r="I22" s="2" t="str">
        <f>RADIO_RxDone_DATA!I22</f>
        <v>LoRa_Channels[channelRxIndex].frequency</v>
      </c>
      <c r="J22">
        <f>RADIO_RxDone_DATA!J22</f>
        <v>0</v>
      </c>
    </row>
    <row r="23" spans="2:10" x14ac:dyDescent="0.25">
      <c r="B23" t="e">
        <f>#REF!</f>
        <v>#REF!</v>
      </c>
      <c r="C23" s="19"/>
      <c r="D23" s="26"/>
      <c r="E23" s="20"/>
      <c r="F23" s="21"/>
      <c r="G23">
        <f>RADIO_RxDone_DATA!G23</f>
        <v>0</v>
      </c>
      <c r="H23" t="str">
        <f>RADIO_RxDone_DATA!H23</f>
        <v>LoRa_sendChannelParameters.dataRate</v>
      </c>
      <c r="I23" s="2" t="str">
        <f>RADIO_RxDone_DATA!I23</f>
        <v>LoRa_currentDataRate</v>
      </c>
      <c r="J23">
        <f>RADIO_RxDone_DATA!J23</f>
        <v>0</v>
      </c>
    </row>
    <row r="24" spans="2:10" x14ac:dyDescent="0.25">
      <c r="B24" t="e">
        <f>#REF!</f>
        <v>#REF!</v>
      </c>
      <c r="C24" s="22"/>
      <c r="D24" s="27"/>
      <c r="E24" s="23"/>
      <c r="F24" s="24"/>
      <c r="G24" t="str">
        <f>RADIO_RxDone_DATA!G24</f>
        <v>uint8_t</v>
      </c>
      <c r="H24" t="str">
        <f>RADIO_RxDone_DATA!H24</f>
        <v>LoRa_txPower</v>
      </c>
      <c r="I24" s="2">
        <f>RADIO_RxDone_DATA!I24</f>
        <v>1</v>
      </c>
      <c r="J24">
        <f>RADIO_RxDone_DATA!J24</f>
        <v>0</v>
      </c>
    </row>
    <row r="25" spans="2:10" x14ac:dyDescent="0.25">
      <c r="B25" t="e">
        <f>#REF!</f>
        <v>#REF!</v>
      </c>
      <c r="C25" t="str">
        <f>RADIO_RxDone_DATA!C25</f>
        <v>DATA</v>
      </c>
      <c r="D25" s="2" t="str">
        <f>RADIO_RxDone_DATA!D25</f>
        <v>LoRa_Addres, nxt_channel</v>
      </c>
      <c r="E25">
        <f>RADIO_RxDone_DATA!E25</f>
        <v>0</v>
      </c>
      <c r="F25">
        <f>RADIO_RxDone_DATA!F25</f>
        <v>0</v>
      </c>
      <c r="G25" t="str">
        <f>RADIO_RxDone_DATA!G25</f>
        <v>uint8_t</v>
      </c>
      <c r="H25" t="str">
        <f>RADIO_RxDone_DATA!H25</f>
        <v>LoRa_syncWord</v>
      </c>
      <c r="I25" s="2" t="str">
        <f>RADIO_RxDone_DATA!I25</f>
        <v>0x34</v>
      </c>
      <c r="J25">
        <f>RADIO_RxDone_DATA!J25</f>
        <v>0</v>
      </c>
    </row>
    <row r="26" spans="2:10" x14ac:dyDescent="0.25">
      <c r="B26" t="e">
        <f>#REF!</f>
        <v>#REF!</v>
      </c>
      <c r="C26" t="str">
        <f>RADIO_RxDone_DATA!C26</f>
        <v>mode</v>
      </c>
      <c r="D26" s="2" t="str">
        <f>RADIO_RxDone_DATA!D26</f>
        <v>MODE_RXSINGLE</v>
      </c>
      <c r="E26">
        <f>RADIO_RxDone_DATA!E26</f>
        <v>0</v>
      </c>
      <c r="F26">
        <f>RADIO_RxDone_DATA!F26</f>
        <v>0</v>
      </c>
      <c r="G26" t="str">
        <f>RADIO_RxDone_DATA!G26</f>
        <v>uint8_t</v>
      </c>
      <c r="H26" t="str">
        <f>RADIO_RxDone_DATA!H26</f>
        <v>LoRa_batteryLevel</v>
      </c>
      <c r="I26" s="2" t="str">
        <f>RADIO_RxDone_DATA!I26</f>
        <v>BATTERY_LEVEL_INVALID</v>
      </c>
      <c r="J26">
        <f>RADIO_RxDone_DATA!J26</f>
        <v>0</v>
      </c>
    </row>
    <row r="27" spans="2:10" x14ac:dyDescent="0.25">
      <c r="B27" t="e">
        <f>#REF!</f>
        <v>#REF!</v>
      </c>
      <c r="C27" t="str">
        <f>RADIO_RxDone_DATA!C27</f>
        <v>modulation</v>
      </c>
      <c r="D27" s="2" t="str">
        <f>RADIO_RxDone_DATA!D27</f>
        <v>MODULATION_LORA</v>
      </c>
      <c r="E27">
        <f>RADIO_RxDone_DATA!E27</f>
        <v>0</v>
      </c>
      <c r="F27">
        <f>RADIO_RxDone_DATA!F27</f>
        <v>0</v>
      </c>
      <c r="G27" t="str">
        <f>RADIO_RxDone_DATA!G27</f>
        <v>IsmBand_t</v>
      </c>
      <c r="H27" t="str">
        <f>RADIO_RxDone_DATA!H27</f>
        <v>LoRa_ismBand</v>
      </c>
      <c r="I27" s="2" t="str">
        <f>RADIO_RxDone_DATA!I27</f>
        <v>ISM_EU868</v>
      </c>
      <c r="J27">
        <f>RADIO_RxDone_DATA!J27</f>
        <v>0</v>
      </c>
    </row>
    <row r="28" spans="2:10" x14ac:dyDescent="0.25">
      <c r="B28" t="e">
        <f>#REF!</f>
        <v>#REF!</v>
      </c>
      <c r="C28" t="str">
        <f>RADIO_RxDone_DATA!C28</f>
        <v>frequency</v>
      </c>
      <c r="D28" s="2" t="str">
        <f>RADIO_RxDone_DATA!D28</f>
        <v>LoRa_receiveChannelParameters.frequency</v>
      </c>
      <c r="E28">
        <f>RADIO_RxDone_DATA!E28</f>
        <v>0</v>
      </c>
      <c r="F28">
        <f>RADIO_RxDone_DATA!F28</f>
        <v>0</v>
      </c>
      <c r="G28" t="str">
        <f>RADIO_RxDone_DATA!G28</f>
        <v>uint8_t</v>
      </c>
      <c r="H28" t="str">
        <f>RADIO_RxDone_DATA!H28</f>
        <v>LoRa_currentDataRate</v>
      </c>
      <c r="I28" s="2" t="str">
        <f>RADIO_RxDone_DATA!I28</f>
        <v>DR0</v>
      </c>
      <c r="J28">
        <f>RADIO_RxDone_DATA!J28</f>
        <v>0</v>
      </c>
    </row>
    <row r="29" spans="2:10" x14ac:dyDescent="0.25">
      <c r="B29" t="e">
        <f>#REF!</f>
        <v>#REF!</v>
      </c>
      <c r="C29" t="str">
        <f>RADIO_RxDone_DATA!C29</f>
        <v>payload</v>
      </c>
      <c r="D29" s="2">
        <f>RADIO_RxDone_DATA!D29</f>
        <v>1</v>
      </c>
      <c r="E29">
        <f>RADIO_RxDone_DATA!E29</f>
        <v>0</v>
      </c>
      <c r="F29">
        <f>RADIO_RxDone_DATA!F29</f>
        <v>0</v>
      </c>
      <c r="G29" t="str">
        <f>RADIO_RxDone_DATA!G29</f>
        <v>uint8_t</v>
      </c>
      <c r="H29" t="str">
        <f>RADIO_RxDone_DATA!H29</f>
        <v>LoRa_minDataRate</v>
      </c>
      <c r="I29" s="2" t="str">
        <f>RADIO_RxDone_DATA!I29</f>
        <v>DR0</v>
      </c>
      <c r="J29">
        <f>RADIO_RxDone_DATA!J29</f>
        <v>0</v>
      </c>
    </row>
    <row r="30" spans="2:10" x14ac:dyDescent="0.25">
      <c r="B30" t="e">
        <f>#REF!</f>
        <v>#REF!</v>
      </c>
      <c r="C30" t="str">
        <f>RADIO_RxDone_DATA!C30</f>
        <v>power</v>
      </c>
      <c r="D30" s="2" t="str">
        <f>RADIO_RxDone_DATA!D30</f>
        <v>txPower868[LoRa_txPower]</v>
      </c>
      <c r="E30">
        <f>RADIO_RxDone_DATA!E30</f>
        <v>0</v>
      </c>
      <c r="F30">
        <f>RADIO_RxDone_DATA!F30</f>
        <v>0</v>
      </c>
      <c r="G30" t="str">
        <f>RADIO_RxDone_DATA!G30</f>
        <v>uint8_t</v>
      </c>
      <c r="H30" t="str">
        <f>RADIO_RxDone_DATA!H30</f>
        <v>LoRa_maxDataRate</v>
      </c>
      <c r="I30" s="2" t="str">
        <f>RADIO_RxDone_DATA!I30</f>
        <v>DR7</v>
      </c>
      <c r="J30">
        <f>RADIO_RxDone_DATA!J30</f>
        <v>0</v>
      </c>
    </row>
    <row r="31" spans="2:10" x14ac:dyDescent="0.25">
      <c r="B31" t="e">
        <f>#REF!</f>
        <v>#REF!</v>
      </c>
      <c r="C31" t="str">
        <f>RADIO_RxDone_DATA!C31</f>
        <v>SpreadingFactor</v>
      </c>
      <c r="D31" s="2" t="str">
        <f>RADIO_RxDone_DATA!D31</f>
        <v>spreadingFactor[LoRa_receiveChannelParameters.dataRate]</v>
      </c>
      <c r="E31">
        <f>RADIO_RxDone_DATA!E31</f>
        <v>0</v>
      </c>
      <c r="F31">
        <f>RADIO_RxDone_DATA!F31</f>
        <v>0</v>
      </c>
      <c r="G31" t="str">
        <f>RADIO_RxDone_DATA!G31</f>
        <v>uint8_t</v>
      </c>
      <c r="H31" t="str">
        <f>RADIO_RxDone_DATA!H31</f>
        <v>LoRa_nextUsedChannel</v>
      </c>
      <c r="I31" s="2">
        <f>RADIO_RxDone_DATA!I31</f>
        <v>0</v>
      </c>
      <c r="J31">
        <f>RADIO_RxDone_DATA!J31</f>
        <v>0</v>
      </c>
    </row>
    <row r="32" spans="2:10" x14ac:dyDescent="0.25">
      <c r="B32" t="e">
        <f>#REF!</f>
        <v>#REF!</v>
      </c>
      <c r="C32" t="str">
        <f>RADIO_RxDone_DATA!C32</f>
        <v>Bandwidth</v>
      </c>
      <c r="D32" s="2" t="str">
        <f>RADIO_RxDone_DATA!D32</f>
        <v>bandwidth[LoRa_receiveChannelParameters.dataRate]</v>
      </c>
      <c r="E32">
        <f>RADIO_RxDone_DATA!E32</f>
        <v>0</v>
      </c>
      <c r="F32">
        <f>RADIO_RxDone_DATA!F32</f>
        <v>0</v>
      </c>
      <c r="G32">
        <f>RADIO_RxDone_DATA!G32</f>
        <v>0</v>
      </c>
      <c r="H32">
        <f>RADIO_RxDone_DATA!H32</f>
        <v>0</v>
      </c>
      <c r="I32" s="2">
        <f>RADIO_RxDone_DATA!I32</f>
        <v>0</v>
      </c>
      <c r="J32">
        <f>RADIO_RxDone_DATA!J32</f>
        <v>0</v>
      </c>
    </row>
    <row r="33" spans="2:10" x14ac:dyDescent="0.25">
      <c r="B33" t="e">
        <f>#REF!</f>
        <v>#REF!</v>
      </c>
      <c r="C33" t="str">
        <f>RADIO_RxDone_DATA!C33</f>
        <v>SyncWord</v>
      </c>
      <c r="D33" s="2" t="str">
        <f>RADIO_RxDone_DATA!D33</f>
        <v>LoRa_syncWord</v>
      </c>
      <c r="E33">
        <f>RADIO_RxDone_DATA!E33</f>
        <v>0</v>
      </c>
      <c r="F33">
        <f>RADIO_RxDone_DATA!F33</f>
        <v>0</v>
      </c>
      <c r="G33">
        <f>RADIO_RxDone_DATA!G33</f>
        <v>0</v>
      </c>
      <c r="H33">
        <f>RADIO_RxDone_DATA!H33</f>
        <v>0</v>
      </c>
      <c r="I33" s="2">
        <f>RADIO_RxDone_DATA!I33</f>
        <v>0</v>
      </c>
      <c r="J33">
        <f>RADIO_RxDone_DATA!J33</f>
        <v>0</v>
      </c>
    </row>
    <row r="34" spans="2:10" x14ac:dyDescent="0.25">
      <c r="B34" t="e">
        <f>#REF!</f>
        <v>#REF!</v>
      </c>
      <c r="C34" t="str">
        <f>RADIO_RxDone_DATA!C34</f>
        <v>CRC</v>
      </c>
      <c r="D34" s="2" t="str">
        <f>RADIO_RxDone_DATA!D34</f>
        <v>DISABLED</v>
      </c>
      <c r="E34">
        <f>RADIO_RxDone_DATA!E34</f>
        <v>0</v>
      </c>
      <c r="F34">
        <f>RADIO_RxDone_DATA!F34</f>
        <v>0</v>
      </c>
      <c r="G34" t="str">
        <f>RADIO_RxDone_DATA!G34</f>
        <v>uint32_t</v>
      </c>
      <c r="H34" t="str">
        <f>RADIO_RxDone_DATA!H34</f>
        <v>frequency</v>
      </c>
      <c r="I34" s="2" t="str">
        <f>RADIO_RxDone_DATA!I34</f>
        <v>LoRa_receiveChannelParameters.frequency</v>
      </c>
      <c r="J34">
        <f>RADIO_RxDone_DATA!J34</f>
        <v>0</v>
      </c>
    </row>
    <row r="35" spans="2:10" x14ac:dyDescent="0.25">
      <c r="B35" t="e">
        <f>#REF!</f>
        <v>#REF!</v>
      </c>
      <c r="C35" t="str">
        <f>RADIO_RxDone_DATA!C35</f>
        <v>IQInverted</v>
      </c>
      <c r="D35" s="2" t="str">
        <f>RADIO_RxDone_DATA!D35</f>
        <v>ENABLED</v>
      </c>
      <c r="E35">
        <f>RADIO_RxDone_DATA!E35</f>
        <v>0</v>
      </c>
      <c r="F35">
        <f>RADIO_RxDone_DATA!F35</f>
        <v>0</v>
      </c>
      <c r="G35" t="str">
        <f>RADIO_RxDone_DATA!G35</f>
        <v>uint32_t</v>
      </c>
      <c r="H35" t="str">
        <f>RADIO_RxDone_DATA!H35</f>
        <v>frequencyDeviation</v>
      </c>
      <c r="I35" s="2">
        <f>RADIO_RxDone_DATA!I35</f>
        <v>25000</v>
      </c>
      <c r="J35">
        <f>RADIO_RxDone_DATA!J35</f>
        <v>0</v>
      </c>
    </row>
    <row r="36" spans="2:10" x14ac:dyDescent="0.25">
      <c r="B36" t="e">
        <f>#REF!</f>
        <v>#REF!</v>
      </c>
      <c r="C36" t="str">
        <f>RADIO_RxDone_DATA!C36</f>
        <v>HopPeriod</v>
      </c>
      <c r="D36" s="2" t="str">
        <f>RADIO_RxDone_DATA!D36</f>
        <v>DISABLED</v>
      </c>
      <c r="E36">
        <f>RADIO_RxDone_DATA!E36</f>
        <v>0</v>
      </c>
      <c r="F36">
        <f>RADIO_RxDone_DATA!F36</f>
        <v>0</v>
      </c>
      <c r="G36" t="str">
        <f>RADIO_RxDone_DATA!G36</f>
        <v>uint32_t</v>
      </c>
      <c r="H36" t="str">
        <f>RADIO_RxDone_DATA!H36</f>
        <v>bitRate</v>
      </c>
      <c r="I36" s="2">
        <f>RADIO_RxDone_DATA!I36</f>
        <v>50000</v>
      </c>
      <c r="J36">
        <f>RADIO_RxDone_DATA!J36</f>
        <v>0</v>
      </c>
    </row>
    <row r="37" spans="2:10" x14ac:dyDescent="0.25">
      <c r="B37" t="e">
        <f>#REF!</f>
        <v>#REF!</v>
      </c>
      <c r="C37" t="str">
        <f>RADIO_RxDone_DATA!C37</f>
        <v>errorCodingRate</v>
      </c>
      <c r="D37" s="2" t="str">
        <f>RADIO_RxDone_DATA!D37</f>
        <v>CR_4_5</v>
      </c>
      <c r="E37">
        <f>RADIO_RxDone_DATA!E37</f>
        <v>0</v>
      </c>
      <c r="F37">
        <f>RADIO_RxDone_DATA!F37</f>
        <v>0</v>
      </c>
      <c r="G37" t="str">
        <f>RADIO_RxDone_DATA!G37</f>
        <v>uint16_t</v>
      </c>
      <c r="H37" t="str">
        <f>RADIO_RxDone_DATA!H37</f>
        <v>preambleLen</v>
      </c>
      <c r="I37" s="2">
        <f>RADIO_RxDone_DATA!I37</f>
        <v>8</v>
      </c>
      <c r="J37">
        <f>RADIO_RxDone_DATA!J37</f>
        <v>0</v>
      </c>
    </row>
    <row r="38" spans="2:10" x14ac:dyDescent="0.25">
      <c r="B38" t="e">
        <f>#REF!</f>
        <v>#REF!</v>
      </c>
      <c r="C38" t="str">
        <f>RADIO_RxDone_DATA!C38</f>
        <v>implicitHeaderMode</v>
      </c>
      <c r="D38" s="2" t="str">
        <f>RADIO_RxDone_DATA!D38</f>
        <v>0</v>
      </c>
      <c r="E38">
        <f>RADIO_RxDone_DATA!E38</f>
        <v>0</v>
      </c>
      <c r="F38">
        <f>RADIO_RxDone_DATA!F38</f>
        <v>0</v>
      </c>
      <c r="G38" t="str">
        <f>RADIO_RxDone_DATA!G38</f>
        <v>uint8_t</v>
      </c>
      <c r="H38" t="str">
        <f>RADIO_RxDone_DATA!H38</f>
        <v>syncWordLoRa</v>
      </c>
      <c r="I38" s="2" t="str">
        <f>RADIO_RxDone_DATA!I38</f>
        <v>LoRa_syncWord</v>
      </c>
      <c r="J38">
        <f>RADIO_RxDone_DATA!J38</f>
        <v>0</v>
      </c>
    </row>
    <row r="39" spans="2:10" x14ac:dyDescent="0.25">
      <c r="B39" t="e">
        <f>#REF!</f>
        <v>#REF!</v>
      </c>
      <c r="C39" t="str">
        <f>RADIO_RxDone_DATA!C39</f>
        <v>preambleLen</v>
      </c>
      <c r="D39" s="2">
        <f>RADIO_RxDone_DATA!D39</f>
        <v>8</v>
      </c>
      <c r="E39">
        <f>RADIO_RxDone_DATA!E39</f>
        <v>0</v>
      </c>
      <c r="F39">
        <f>RADIO_RxDone_DATA!F39</f>
        <v>0</v>
      </c>
      <c r="G39" t="str">
        <f>RADIO_RxDone_DATA!G39</f>
        <v>uint8_t</v>
      </c>
      <c r="H39" t="str">
        <f>RADIO_RxDone_DATA!H39</f>
        <v>syncWord</v>
      </c>
      <c r="I39" s="2" t="str">
        <f>RADIO_RxDone_DATA!I39</f>
        <v>0xc1 0x94 0xc1</v>
      </c>
      <c r="J39">
        <f>RADIO_RxDone_DATA!J39</f>
        <v>0</v>
      </c>
    </row>
    <row r="40" spans="2:10" x14ac:dyDescent="0.25">
      <c r="B40" t="e">
        <f>#REF!</f>
        <v>#REF!</v>
      </c>
      <c r="C40" t="str">
        <f>RADIO_RxDone_DATA!C40</f>
        <v>symbolTimeout</v>
      </c>
      <c r="D40" s="2">
        <f>RADIO_RxDone_DATA!D40</f>
        <v>4</v>
      </c>
      <c r="E40">
        <f>RADIO_RxDone_DATA!E40</f>
        <v>0</v>
      </c>
      <c r="F40">
        <f>RADIO_RxDone_DATA!F40</f>
        <v>0</v>
      </c>
      <c r="G40" t="str">
        <f>RADIO_RxDone_DATA!G40</f>
        <v>uint8_t</v>
      </c>
      <c r="H40" t="str">
        <f>RADIO_RxDone_DATA!H40</f>
        <v>syncWordLen</v>
      </c>
      <c r="I40" s="2">
        <f>RADIO_RxDone_DATA!I40</f>
        <v>3</v>
      </c>
      <c r="J40">
        <f>RADIO_RxDone_DATA!J40</f>
        <v>0</v>
      </c>
    </row>
    <row r="41" spans="2:10" x14ac:dyDescent="0.25">
      <c r="B41" t="e">
        <f>#REF!</f>
        <v>#REF!</v>
      </c>
      <c r="C41" t="str">
        <f>RADIO_RxDone_DATA!C41</f>
        <v>FSKfreqDeviation</v>
      </c>
      <c r="D41" s="2">
        <f>RADIO_RxDone_DATA!D41</f>
        <v>25000</v>
      </c>
      <c r="E41">
        <f>RADIO_RxDone_DATA!E41</f>
        <v>0</v>
      </c>
      <c r="F41">
        <f>RADIO_RxDone_DATA!F41</f>
        <v>0</v>
      </c>
      <c r="G41" t="str">
        <f>RADIO_RxDone_DATA!G41</f>
        <v>RadioModulation_t</v>
      </c>
      <c r="H41" t="str">
        <f>RADIO_RxDone_DATA!H41</f>
        <v>modulation</v>
      </c>
      <c r="I41" s="2" t="str">
        <f>RADIO_RxDone_DATA!I41</f>
        <v>modulation[LoRa_receiveChannelParameters.dataRate]</v>
      </c>
      <c r="J41">
        <f>RADIO_RxDone_DATA!J41</f>
        <v>0</v>
      </c>
    </row>
    <row r="42" spans="2:10" x14ac:dyDescent="0.25">
      <c r="B42" t="e">
        <f>#REF!</f>
        <v>#REF!</v>
      </c>
      <c r="C42" t="str">
        <f>RADIO_RxDone_DATA!C42</f>
        <v>FSKBitRate</v>
      </c>
      <c r="D42" s="2">
        <f>RADIO_RxDone_DATA!D42</f>
        <v>50000</v>
      </c>
      <c r="E42">
        <f>RADIO_RxDone_DATA!E42</f>
        <v>0</v>
      </c>
      <c r="F42">
        <f>RADIO_RxDone_DATA!F42</f>
        <v>0</v>
      </c>
      <c r="G42" t="str">
        <f>RADIO_RxDone_DATA!G42</f>
        <v>RadioDataRate_t</v>
      </c>
      <c r="H42" t="str">
        <f>RADIO_RxDone_DATA!H42</f>
        <v>dataRate</v>
      </c>
      <c r="I42" s="2" t="str">
        <f>RADIO_RxDone_DATA!I42</f>
        <v>spreadingFactor[LoRa_receiveChannelParameters.dataRate]</v>
      </c>
      <c r="J42">
        <f>RADIO_RxDone_DATA!J42</f>
        <v>0</v>
      </c>
    </row>
    <row r="43" spans="2:10" x14ac:dyDescent="0.25">
      <c r="B43" t="e">
        <f>#REF!</f>
        <v>#REF!</v>
      </c>
      <c r="C43" t="str">
        <f>RADIO_RxDone_DATA!C43</f>
        <v>FSK_PREAMBLE</v>
      </c>
      <c r="D43" s="2">
        <f>RADIO_RxDone_DATA!D43</f>
        <v>8</v>
      </c>
      <c r="E43">
        <f>RADIO_RxDone_DATA!E43</f>
        <v>0</v>
      </c>
      <c r="F43">
        <f>RADIO_RxDone_DATA!F43</f>
        <v>0</v>
      </c>
      <c r="G43" t="str">
        <f>RADIO_RxDone_DATA!G43</f>
        <v>RadioLoRaBandWidth_t</v>
      </c>
      <c r="H43" t="str">
        <f>RADIO_RxDone_DATA!H43</f>
        <v>bandWidth</v>
      </c>
      <c r="I43" s="2" t="str">
        <f>RADIO_RxDone_DATA!I43</f>
        <v>bandwidth[LoRa_receiveChannelParameters.dataRate]</v>
      </c>
      <c r="J43">
        <f>RADIO_RxDone_DATA!J43</f>
        <v>0</v>
      </c>
    </row>
    <row r="44" spans="2:10" x14ac:dyDescent="0.25">
      <c r="B44" t="e">
        <f>#REF!</f>
        <v>#REF!</v>
      </c>
      <c r="C44" t="str">
        <f>RADIO_RxDone_DATA!C44</f>
        <v>fskDataShaping</v>
      </c>
      <c r="D44" s="2" t="str">
        <f>RADIO_RxDone_DATA!D44</f>
        <v>FSK_SHAPING_GAUSS_BT_0_5</v>
      </c>
      <c r="E44">
        <f>RADIO_RxDone_DATA!E44</f>
        <v>0</v>
      </c>
      <c r="F44">
        <f>RADIO_RxDone_DATA!F44</f>
        <v>0</v>
      </c>
      <c r="G44" t="str">
        <f>RADIO_RxDone_DATA!G44</f>
        <v>int8_t</v>
      </c>
      <c r="H44" t="str">
        <f>RADIO_RxDone_DATA!H44</f>
        <v>outputPower</v>
      </c>
      <c r="I44" s="2" t="str">
        <f>RADIO_RxDone_DATA!I44</f>
        <v>txPower868[LoRa_txPower]</v>
      </c>
      <c r="J44">
        <f>RADIO_RxDone_DATA!J44</f>
        <v>0</v>
      </c>
    </row>
    <row r="45" spans="2:10" x14ac:dyDescent="0.25">
      <c r="B45" t="e">
        <f>#REF!</f>
        <v>#REF!</v>
      </c>
      <c r="C45">
        <f>RADIO_RxDone_DATA!C45</f>
        <v>0</v>
      </c>
      <c r="D45" s="2">
        <f>RADIO_RxDone_DATA!D45</f>
        <v>0</v>
      </c>
      <c r="E45">
        <f>RADIO_RxDone_DATA!E45</f>
        <v>0</v>
      </c>
      <c r="F45">
        <f>RADIO_RxDone_DATA!F45</f>
        <v>0</v>
      </c>
      <c r="G45" t="str">
        <f>RADIO_RxDone_DATA!G45</f>
        <v>uint8_t</v>
      </c>
      <c r="H45" t="str">
        <f>RADIO_RxDone_DATA!H45</f>
        <v>crcOn</v>
      </c>
      <c r="I45" s="2" t="str">
        <f>RADIO_RxDone_DATA!I45</f>
        <v>DISABLED</v>
      </c>
      <c r="J45">
        <f>RADIO_RxDone_DATA!J45</f>
        <v>0</v>
      </c>
    </row>
    <row r="46" spans="2:10" x14ac:dyDescent="0.25">
      <c r="B46" t="e">
        <f>#REF!</f>
        <v>#REF!</v>
      </c>
      <c r="C46">
        <f>RADIO_RxDone_DATA!C46</f>
        <v>0</v>
      </c>
      <c r="D46" s="2">
        <f>RADIO_RxDone_DATA!D46</f>
        <v>0</v>
      </c>
      <c r="E46">
        <f>RADIO_RxDone_DATA!E46</f>
        <v>0</v>
      </c>
      <c r="F46">
        <f>RADIO_RxDone_DATA!F46</f>
        <v>0</v>
      </c>
      <c r="G46" t="str">
        <f>RADIO_RxDone_DATA!G46</f>
        <v>uint8_t</v>
      </c>
      <c r="H46" t="str">
        <f>RADIO_RxDone_DATA!H46</f>
        <v>paBoost</v>
      </c>
      <c r="I46" s="2" t="str">
        <f>RADIO_RxDone_DATA!I46</f>
        <v>0</v>
      </c>
      <c r="J46">
        <f>RADIO_RxDone_DATA!J46</f>
        <v>0</v>
      </c>
    </row>
    <row r="47" spans="2:10" x14ac:dyDescent="0.25">
      <c r="B47" t="e">
        <f>#REF!</f>
        <v>#REF!</v>
      </c>
      <c r="C47">
        <f>RADIO_RxDone_DATA!C47</f>
        <v>0</v>
      </c>
      <c r="D47" s="2">
        <f>RADIO_RxDone_DATA!D47</f>
        <v>0</v>
      </c>
      <c r="E47">
        <f>RADIO_RxDone_DATA!E47</f>
        <v>0</v>
      </c>
      <c r="F47">
        <f>RADIO_RxDone_DATA!F47</f>
        <v>0</v>
      </c>
      <c r="G47" t="str">
        <f>RADIO_RxDone_DATA!G47</f>
        <v>uint8_t</v>
      </c>
      <c r="H47" t="str">
        <f>RADIO_RxDone_DATA!H47</f>
        <v>flags</v>
      </c>
      <c r="I47" s="2" t="str">
        <f>RADIO_RxDone_DATA!I47</f>
        <v>0</v>
      </c>
    </row>
    <row r="48" spans="2:10" x14ac:dyDescent="0.25">
      <c r="B48" t="e">
        <f>#REF!</f>
        <v>#REF!</v>
      </c>
      <c r="C48">
        <f>RADIO_RxDone_DATA!C48</f>
        <v>0</v>
      </c>
      <c r="D48" s="2">
        <f>RADIO_RxDone_DATA!D48</f>
        <v>0</v>
      </c>
      <c r="E48">
        <f>RADIO_RxDone_DATA!E48</f>
        <v>0</v>
      </c>
      <c r="F48">
        <f>RADIO_RxDone_DATA!F48</f>
        <v>0</v>
      </c>
      <c r="G48" t="str">
        <f>RADIO_RxDone_DATA!G48</f>
        <v>uint16_t</v>
      </c>
      <c r="H48" t="str">
        <f>RADIO_RxDone_DATA!H48</f>
        <v>frequencyHopPeriod</v>
      </c>
      <c r="I48" s="2" t="str">
        <f>RADIO_RxDone_DATA!I48</f>
        <v>DISABLED</v>
      </c>
      <c r="J48">
        <f>RADIO_RxDone_DATA!J48</f>
        <v>0</v>
      </c>
    </row>
    <row r="49" spans="2:10" x14ac:dyDescent="0.25">
      <c r="B49" t="e">
        <f>#REF!</f>
        <v>#REF!</v>
      </c>
      <c r="C49">
        <f>RADIO_RxDone_DATA!C49</f>
        <v>0</v>
      </c>
      <c r="D49" s="2">
        <f>RADIO_RxDone_DATA!D49</f>
        <v>0</v>
      </c>
      <c r="E49">
        <f>RADIO_RxDone_DATA!E49</f>
        <v>0</v>
      </c>
      <c r="F49">
        <f>RADIO_RxDone_DATA!F49</f>
        <v>0</v>
      </c>
      <c r="G49" t="str">
        <f>RADIO_RxDone_DATA!G49</f>
        <v>uint8_t</v>
      </c>
      <c r="H49" t="str">
        <f>RADIO_RxDone_DATA!H49</f>
        <v>iqInverted</v>
      </c>
      <c r="I49" s="2" t="str">
        <f>RADIO_RxDone_DATA!I49</f>
        <v>ENABLED</v>
      </c>
      <c r="J49">
        <f>RADIO_RxDone_DATA!J49</f>
        <v>0</v>
      </c>
    </row>
    <row r="50" spans="2:10" x14ac:dyDescent="0.25">
      <c r="B50" t="e">
        <f>#REF!</f>
        <v>#REF!</v>
      </c>
      <c r="C50">
        <f>RADIO_RxDone_DATA!C50</f>
        <v>0</v>
      </c>
      <c r="D50" s="2">
        <f>RADIO_RxDone_DATA!D50</f>
        <v>0</v>
      </c>
      <c r="E50">
        <f>RADIO_RxDone_DATA!E50</f>
        <v>0</v>
      </c>
      <c r="F50">
        <f>RADIO_RxDone_DATA!F50</f>
        <v>0</v>
      </c>
      <c r="G50" t="str">
        <f>RADIO_RxDone_DATA!G50</f>
        <v>RadioErrorCodingRate_t</v>
      </c>
      <c r="H50" t="str">
        <f>RADIO_RxDone_DATA!H50</f>
        <v>errorCodingRate</v>
      </c>
      <c r="I50" s="2" t="str">
        <f>RADIO_RxDone_DATA!I50</f>
        <v>CR_4_5</v>
      </c>
      <c r="J50">
        <f>RADIO_RxDone_DATA!J50</f>
        <v>0</v>
      </c>
    </row>
    <row r="51" spans="2:10" x14ac:dyDescent="0.25">
      <c r="B51" t="e">
        <f>#REF!</f>
        <v>#REF!</v>
      </c>
      <c r="C51">
        <f>RADIO_RxDone_DATA!C51</f>
        <v>0</v>
      </c>
      <c r="D51" s="2">
        <f>RADIO_RxDone_DATA!D51</f>
        <v>0</v>
      </c>
      <c r="E51">
        <f>RADIO_RxDone_DATA!E51</f>
        <v>0</v>
      </c>
      <c r="F51">
        <f>RADIO_RxDone_DATA!F51</f>
        <v>0</v>
      </c>
      <c r="G51" t="str">
        <f>RADIO_RxDone_DATA!G51</f>
        <v>uint8_t</v>
      </c>
      <c r="H51" t="str">
        <f>RADIO_RxDone_DATA!H51</f>
        <v>implicitHeaderMode</v>
      </c>
      <c r="I51" s="2" t="str">
        <f>RADIO_RxDone_DATA!I51</f>
        <v>0</v>
      </c>
      <c r="J51">
        <f>RADIO_RxDone_DATA!J51</f>
        <v>0</v>
      </c>
    </row>
    <row r="52" spans="2:10" x14ac:dyDescent="0.25">
      <c r="B52" t="e">
        <f>#REF!</f>
        <v>#REF!</v>
      </c>
      <c r="C52">
        <f>RADIO_RxDone_DATA!C52</f>
        <v>0</v>
      </c>
      <c r="D52" s="2">
        <f>RADIO_RxDone_DATA!D52</f>
        <v>0</v>
      </c>
      <c r="E52">
        <f>RADIO_RxDone_DATA!E52</f>
        <v>0</v>
      </c>
      <c r="F52">
        <f>RADIO_RxDone_DATA!F52</f>
        <v>0</v>
      </c>
      <c r="G52">
        <f>RADIO_RxDone_DATA!G52</f>
        <v>0</v>
      </c>
      <c r="H52">
        <f>RADIO_RxDone_DATA!H52</f>
        <v>0</v>
      </c>
      <c r="I52" s="2">
        <f>RADIO_RxDone_DATA!I52</f>
        <v>0</v>
      </c>
      <c r="J52">
        <f>RADIO_RxDone_DATA!J52</f>
        <v>0</v>
      </c>
    </row>
    <row r="53" spans="2:10" x14ac:dyDescent="0.25">
      <c r="B53" t="e">
        <f>#REF!</f>
        <v>#REF!</v>
      </c>
      <c r="C53">
        <f>RADIO_RxDone_DATA!C53</f>
        <v>0</v>
      </c>
      <c r="D53" s="2">
        <f>RADIO_RxDone_DATA!D53</f>
        <v>0</v>
      </c>
      <c r="E53">
        <f>RADIO_RxDone_DATA!E53</f>
        <v>0</v>
      </c>
      <c r="F53">
        <f>RADIO_RxDone_DATA!F53</f>
        <v>0</v>
      </c>
      <c r="G53" t="str">
        <f>RADIO_RxDone_DATA!G53</f>
        <v>uint8_t</v>
      </c>
      <c r="H53" t="str">
        <f>RADIO_RxDone_DATA!H53</f>
        <v>dataBufferLen</v>
      </c>
      <c r="I53" s="2" t="str">
        <f>RADIO_RxDone_DATA!I53</f>
        <v>REG_LORA_RXNBBYTES</v>
      </c>
      <c r="J53">
        <f>RADIO_RxDone_DATA!J53</f>
        <v>0</v>
      </c>
    </row>
    <row r="54" spans="2:10" x14ac:dyDescent="0.25">
      <c r="B54" t="e">
        <f>#REF!</f>
        <v>#REF!</v>
      </c>
      <c r="C54">
        <f>RADIO_RxDone_DATA!C54</f>
        <v>0</v>
      </c>
      <c r="D54" s="2">
        <f>RADIO_RxDone_DATA!D54</f>
        <v>0</v>
      </c>
      <c r="E54">
        <f>RADIO_RxDone_DATA!E54</f>
        <v>0</v>
      </c>
      <c r="F54">
        <f>RADIO_RxDone_DATA!F54</f>
        <v>0</v>
      </c>
      <c r="G54" t="str">
        <f>RADIO_RxDone_DATA!G54</f>
        <v>uint8_t *</v>
      </c>
      <c r="H54" t="str">
        <f>RADIO_RxDone_DATA!H54</f>
        <v>dataBuffer</v>
      </c>
      <c r="I54" s="2" t="str">
        <f>RADIO_RxDone_DATA!I54</f>
        <v>dane</v>
      </c>
      <c r="J54">
        <f>RADIO_RxDone_DATA!J54</f>
        <v>0</v>
      </c>
    </row>
    <row r="55" spans="2:10" x14ac:dyDescent="0.25">
      <c r="B55" t="e">
        <f>#REF!</f>
        <v>#REF!</v>
      </c>
      <c r="C55">
        <f>RADIO_RxDone_DATA!C55</f>
        <v>0</v>
      </c>
      <c r="D55" s="2">
        <f>RADIO_RxDone_DATA!D55</f>
        <v>0</v>
      </c>
      <c r="E55">
        <f>RADIO_RxDone_DATA!E55</f>
        <v>0</v>
      </c>
      <c r="F55">
        <f>RADIO_RxDone_DATA!F55</f>
        <v>0</v>
      </c>
      <c r="G55" t="str">
        <f>RADIO_RxDone_DATA!G55</f>
        <v>uint8_t</v>
      </c>
      <c r="H55" t="str">
        <f>RADIO_RxDone_DATA!H55</f>
        <v>timeOnAirTimerId</v>
      </c>
      <c r="I55" s="2" t="str">
        <f>RADIO_RxDone_DATA!I55</f>
        <v>TIME_ON_AIR_LOAD_VALUE</v>
      </c>
      <c r="J55">
        <f>RADIO_RxDone_DATA!J55</f>
        <v>0</v>
      </c>
    </row>
    <row r="56" spans="2:10" x14ac:dyDescent="0.25">
      <c r="B56" t="e">
        <f>#REF!</f>
        <v>#REF!</v>
      </c>
      <c r="C56">
        <f>RADIO_RxDone_DATA!C56</f>
        <v>0</v>
      </c>
      <c r="D56" s="2">
        <f>RADIO_RxDone_DATA!D56</f>
        <v>0</v>
      </c>
      <c r="E56">
        <f>RADIO_RxDone_DATA!E56</f>
        <v>0</v>
      </c>
      <c r="F56">
        <f>RADIO_RxDone_DATA!F56</f>
        <v>0</v>
      </c>
      <c r="G56" t="str">
        <f>RADIO_RxDone_DATA!G56</f>
        <v>uint8_t</v>
      </c>
      <c r="H56" t="str">
        <f>RADIO_RxDone_DATA!H56</f>
        <v>fskRxWindowTimerId</v>
      </c>
      <c r="I56" s="2" t="str">
        <f>RADIO_RxDone_DATA!I56</f>
        <v>0</v>
      </c>
      <c r="J56" t="str">
        <f>RADIO_RxDone_DATA!J56</f>
        <v>RADIO_RxFSKTimeout</v>
      </c>
    </row>
    <row r="57" spans="2:10" x14ac:dyDescent="0.25">
      <c r="B57" t="e">
        <f>#REF!</f>
        <v>#REF!</v>
      </c>
      <c r="C57" t="e">
        <f>RADIO_RxDone_DATA!#REF!</f>
        <v>#REF!</v>
      </c>
      <c r="D57" s="2" t="e">
        <f>RADIO_RxDone_DATA!#REF!</f>
        <v>#REF!</v>
      </c>
      <c r="E57" t="e">
        <f>RADIO_RxDone_DATA!#REF!</f>
        <v>#REF!</v>
      </c>
      <c r="F57" t="e">
        <f>RADIO_RxDone_DATA!#REF!</f>
        <v>#REF!</v>
      </c>
      <c r="G57" t="e">
        <f>RADIO_RxDone_DATA!#REF!</f>
        <v>#REF!</v>
      </c>
      <c r="H57" t="e">
        <f>RADIO_RxDone_DATA!#REF!</f>
        <v>#REF!</v>
      </c>
      <c r="I57" s="2" t="e">
        <f>RADIO_RxDone_DATA!#REF!</f>
        <v>#REF!</v>
      </c>
      <c r="J57" t="e">
        <f>RADIO_RxDone_DATA!#REF!</f>
        <v>#REF!</v>
      </c>
    </row>
    <row r="58" spans="2:10" x14ac:dyDescent="0.25">
      <c r="B58" t="e">
        <f>#REF!</f>
        <v>#REF!</v>
      </c>
      <c r="C58" t="e">
        <f>RADIO_RxDone_DATA!#REF!</f>
        <v>#REF!</v>
      </c>
      <c r="D58" s="2" t="e">
        <f>RADIO_RxDone_DATA!#REF!</f>
        <v>#REF!</v>
      </c>
      <c r="E58" t="e">
        <f>RADIO_RxDone_DATA!#REF!</f>
        <v>#REF!</v>
      </c>
      <c r="F58" t="e">
        <f>RADIO_RxDone_DATA!#REF!</f>
        <v>#REF!</v>
      </c>
      <c r="G58" t="e">
        <f>RADIO_RxDone_DATA!#REF!</f>
        <v>#REF!</v>
      </c>
      <c r="H58" t="e">
        <f>RADIO_RxDone_DATA!#REF!</f>
        <v>#REF!</v>
      </c>
      <c r="I58" s="2" t="e">
        <f>RADIO_RxDone_DATA!#REF!</f>
        <v>#REF!</v>
      </c>
      <c r="J58" t="e">
        <f>RADIO_RxDone_DATA!#REF!</f>
        <v>#REF!</v>
      </c>
    </row>
    <row r="59" spans="2:10" x14ac:dyDescent="0.25">
      <c r="B59" t="e">
        <f>#REF!</f>
        <v>#REF!</v>
      </c>
      <c r="C59" t="e">
        <f>RADIO_RxDone_DATA!#REF!</f>
        <v>#REF!</v>
      </c>
      <c r="D59" s="2" t="e">
        <f>RADIO_RxDone_DATA!#REF!</f>
        <v>#REF!</v>
      </c>
      <c r="E59" t="e">
        <f>RADIO_RxDone_DATA!#REF!</f>
        <v>#REF!</v>
      </c>
      <c r="F59" t="e">
        <f>RADIO_RxDone_DATA!#REF!</f>
        <v>#REF!</v>
      </c>
      <c r="G59" t="e">
        <f>RADIO_RxDone_DATA!#REF!</f>
        <v>#REF!</v>
      </c>
      <c r="H59" t="e">
        <f>RADIO_RxDone_DATA!#REF!</f>
        <v>#REF!</v>
      </c>
      <c r="I59" s="2" t="e">
        <f>RADIO_RxDone_DATA!#REF!</f>
        <v>#REF!</v>
      </c>
      <c r="J59" t="e">
        <f>RADIO_RxDone_DATA!#REF!</f>
        <v>#REF!</v>
      </c>
    </row>
    <row r="60" spans="2:10" x14ac:dyDescent="0.25">
      <c r="B60" t="e">
        <f>#REF!</f>
        <v>#REF!</v>
      </c>
      <c r="C60" t="e">
        <f>RADIO_RxDone_DATA!#REF!</f>
        <v>#REF!</v>
      </c>
      <c r="D60" s="2" t="e">
        <f>RADIO_RxDone_DATA!#REF!</f>
        <v>#REF!</v>
      </c>
      <c r="E60" t="e">
        <f>RADIO_RxDone_DATA!#REF!</f>
        <v>#REF!</v>
      </c>
      <c r="F60" t="e">
        <f>RADIO_RxDone_DATA!#REF!</f>
        <v>#REF!</v>
      </c>
      <c r="G60" t="e">
        <f>RADIO_RxDone_DATA!#REF!</f>
        <v>#REF!</v>
      </c>
      <c r="H60" t="e">
        <f>RADIO_RxDone_DATA!#REF!</f>
        <v>#REF!</v>
      </c>
      <c r="I60" s="2" t="e">
        <f>RADIO_RxDone_DATA!#REF!</f>
        <v>#REF!</v>
      </c>
      <c r="J60" t="e">
        <f>RADIO_RxDone_DATA!#REF!</f>
        <v>#REF!</v>
      </c>
    </row>
    <row r="61" spans="2:10" x14ac:dyDescent="0.25">
      <c r="B61" t="e">
        <f>#REF!</f>
        <v>#REF!</v>
      </c>
      <c r="C61" t="e">
        <f>RADIO_RxDone_DATA!#REF!</f>
        <v>#REF!</v>
      </c>
      <c r="D61" s="2" t="e">
        <f>RADIO_RxDone_DATA!#REF!</f>
        <v>#REF!</v>
      </c>
      <c r="E61" t="e">
        <f>RADIO_RxDone_DATA!#REF!</f>
        <v>#REF!</v>
      </c>
      <c r="F61" t="e">
        <f>RADIO_RxDone_DATA!#REF!</f>
        <v>#REF!</v>
      </c>
      <c r="G61" t="e">
        <f>RADIO_RxDone_DATA!#REF!</f>
        <v>#REF!</v>
      </c>
      <c r="H61" t="e">
        <f>RADIO_RxDone_DATA!#REF!</f>
        <v>#REF!</v>
      </c>
      <c r="I61" s="2" t="e">
        <f>RADIO_RxDone_DATA!#REF!</f>
        <v>#REF!</v>
      </c>
      <c r="J61" t="e">
        <f>RADIO_RxDone_DATA!#REF!</f>
        <v>#REF!</v>
      </c>
    </row>
    <row r="62" spans="2:10" x14ac:dyDescent="0.25">
      <c r="B62" t="e">
        <f>#REF!</f>
        <v>#REF!</v>
      </c>
      <c r="C62" t="e">
        <f>RADIO_RxDone_DATA!#REF!</f>
        <v>#REF!</v>
      </c>
      <c r="D62" s="2" t="e">
        <f>RADIO_RxDone_DATA!#REF!</f>
        <v>#REF!</v>
      </c>
      <c r="E62" t="e">
        <f>RADIO_RxDone_DATA!#REF!</f>
        <v>#REF!</v>
      </c>
      <c r="F62" t="e">
        <f>RADIO_RxDone_DATA!#REF!</f>
        <v>#REF!</v>
      </c>
      <c r="G62" t="e">
        <f>RADIO_RxDone_DATA!#REF!</f>
        <v>#REF!</v>
      </c>
      <c r="H62" t="e">
        <f>RADIO_RxDone_DATA!#REF!</f>
        <v>#REF!</v>
      </c>
      <c r="I62" s="2" t="e">
        <f>RADIO_RxDone_DATA!#REF!</f>
        <v>#REF!</v>
      </c>
      <c r="J62" t="e">
        <f>RADIO_RxDone_DATA!#REF!</f>
        <v>#REF!</v>
      </c>
    </row>
    <row r="63" spans="2:10" x14ac:dyDescent="0.25">
      <c r="B63" t="e">
        <f>#REF!</f>
        <v>#REF!</v>
      </c>
      <c r="C63" t="e">
        <f>RADIO_RxDone_DATA!#REF!</f>
        <v>#REF!</v>
      </c>
      <c r="D63" s="2" t="e">
        <f>RADIO_RxDone_DATA!#REF!</f>
        <v>#REF!</v>
      </c>
      <c r="E63" t="e">
        <f>RADIO_RxDone_DATA!#REF!</f>
        <v>#REF!</v>
      </c>
      <c r="F63" t="e">
        <f>RADIO_RxDone_DATA!#REF!</f>
        <v>#REF!</v>
      </c>
      <c r="G63" t="e">
        <f>RADIO_RxDone_DATA!#REF!</f>
        <v>#REF!</v>
      </c>
      <c r="H63" t="e">
        <f>RADIO_RxDone_DATA!#REF!</f>
        <v>#REF!</v>
      </c>
      <c r="I63" s="2" t="e">
        <f>RADIO_RxDone_DATA!#REF!</f>
        <v>#REF!</v>
      </c>
      <c r="J63" t="e">
        <f>RADIO_RxDone_DATA!#REF!</f>
        <v>#REF!</v>
      </c>
    </row>
    <row r="64" spans="2:10" x14ac:dyDescent="0.25">
      <c r="B64" t="e">
        <f>#REF!</f>
        <v>#REF!</v>
      </c>
      <c r="C64" t="e">
        <f>RADIO_RxDone_DATA!#REF!</f>
        <v>#REF!</v>
      </c>
      <c r="D64" s="2" t="e">
        <f>RADIO_RxDone_DATA!#REF!</f>
        <v>#REF!</v>
      </c>
      <c r="E64" t="e">
        <f>RADIO_RxDone_DATA!#REF!</f>
        <v>#REF!</v>
      </c>
      <c r="F64" t="e">
        <f>RADIO_RxDone_DATA!#REF!</f>
        <v>#REF!</v>
      </c>
      <c r="G64" t="e">
        <f>RADIO_RxDone_DATA!#REF!</f>
        <v>#REF!</v>
      </c>
      <c r="H64" t="e">
        <f>RADIO_RxDone_DATA!#REF!</f>
        <v>#REF!</v>
      </c>
      <c r="I64" s="2" t="e">
        <f>RADIO_RxDone_DATA!#REF!</f>
        <v>#REF!</v>
      </c>
      <c r="J64" t="e">
        <f>RADIO_RxDone_DATA!#REF!</f>
        <v>#REF!</v>
      </c>
    </row>
    <row r="65" spans="2:10" x14ac:dyDescent="0.25">
      <c r="B65" t="e">
        <f>#REF!</f>
        <v>#REF!</v>
      </c>
      <c r="C65" t="e">
        <f>RADIO_RxDone_DATA!#REF!</f>
        <v>#REF!</v>
      </c>
      <c r="D65" s="2" t="e">
        <f>RADIO_RxDone_DATA!#REF!</f>
        <v>#REF!</v>
      </c>
      <c r="E65" t="e">
        <f>RADIO_RxDone_DATA!#REF!</f>
        <v>#REF!</v>
      </c>
      <c r="F65" t="e">
        <f>RADIO_RxDone_DATA!#REF!</f>
        <v>#REF!</v>
      </c>
      <c r="G65" t="e">
        <f>RADIO_RxDone_DATA!#REF!</f>
        <v>#REF!</v>
      </c>
      <c r="H65" t="e">
        <f>RADIO_RxDone_DATA!#REF!</f>
        <v>#REF!</v>
      </c>
      <c r="I65" s="2" t="e">
        <f>RADIO_RxDone_DATA!#REF!</f>
        <v>#REF!</v>
      </c>
      <c r="J65" t="e">
        <f>RADIO_RxDone_DATA!#REF!</f>
        <v>#REF!</v>
      </c>
    </row>
    <row r="66" spans="2:10" x14ac:dyDescent="0.25">
      <c r="B66" t="e">
        <f>#REF!</f>
        <v>#REF!</v>
      </c>
      <c r="C66" t="e">
        <f>RADIO_RxDone_DATA!#REF!</f>
        <v>#REF!</v>
      </c>
      <c r="D66" s="2" t="e">
        <f>RADIO_RxDone_DATA!#REF!</f>
        <v>#REF!</v>
      </c>
      <c r="E66" t="e">
        <f>RADIO_RxDone_DATA!#REF!</f>
        <v>#REF!</v>
      </c>
      <c r="F66" t="e">
        <f>RADIO_RxDone_DATA!#REF!</f>
        <v>#REF!</v>
      </c>
      <c r="G66" t="e">
        <f>RADIO_RxDone_DATA!#REF!</f>
        <v>#REF!</v>
      </c>
      <c r="H66" t="e">
        <f>RADIO_RxDone_DATA!#REF!</f>
        <v>#REF!</v>
      </c>
      <c r="I66" s="2" t="e">
        <f>RADIO_RxDone_DATA!#REF!</f>
        <v>#REF!</v>
      </c>
      <c r="J66" t="e">
        <f>RADIO_RxDone_DATA!#REF!</f>
        <v>#REF!</v>
      </c>
    </row>
    <row r="67" spans="2:10" x14ac:dyDescent="0.25">
      <c r="B67" t="e">
        <f>#REF!</f>
        <v>#REF!</v>
      </c>
      <c r="C67" t="e">
        <f>RADIO_RxDone_DATA!#REF!</f>
        <v>#REF!</v>
      </c>
      <c r="D67" s="2" t="e">
        <f>RADIO_RxDone_DATA!#REF!</f>
        <v>#REF!</v>
      </c>
      <c r="E67" t="e">
        <f>RADIO_RxDone_DATA!#REF!</f>
        <v>#REF!</v>
      </c>
      <c r="F67" t="e">
        <f>RADIO_RxDone_DATA!#REF!</f>
        <v>#REF!</v>
      </c>
      <c r="G67" t="e">
        <f>RADIO_RxDone_DATA!#REF!</f>
        <v>#REF!</v>
      </c>
      <c r="H67" t="e">
        <f>RADIO_RxDone_DATA!#REF!</f>
        <v>#REF!</v>
      </c>
      <c r="I67" s="2" t="e">
        <f>RADIO_RxDone_DATA!#REF!</f>
        <v>#REF!</v>
      </c>
      <c r="J67" t="e">
        <f>RADIO_RxDone_DATA!#REF!</f>
        <v>#REF!</v>
      </c>
    </row>
    <row r="68" spans="2:10" x14ac:dyDescent="0.25">
      <c r="B68" t="e">
        <f>#REF!</f>
        <v>#REF!</v>
      </c>
      <c r="C68" t="e">
        <f>RADIO_RxDone_DATA!#REF!</f>
        <v>#REF!</v>
      </c>
      <c r="D68" s="2" t="e">
        <f>RADIO_RxDone_DATA!#REF!</f>
        <v>#REF!</v>
      </c>
      <c r="E68" t="e">
        <f>RADIO_RxDone_DATA!#REF!</f>
        <v>#REF!</v>
      </c>
      <c r="F68" t="e">
        <f>RADIO_RxDone_DATA!#REF!</f>
        <v>#REF!</v>
      </c>
      <c r="G68" t="e">
        <f>RADIO_RxDone_DATA!#REF!</f>
        <v>#REF!</v>
      </c>
      <c r="H68" t="e">
        <f>RADIO_RxDone_DATA!#REF!</f>
        <v>#REF!</v>
      </c>
      <c r="I68" s="2" t="e">
        <f>RADIO_RxDone_DATA!#REF!</f>
        <v>#REF!</v>
      </c>
      <c r="J68" t="e">
        <f>RADIO_RxDone_DATA!#REF!</f>
        <v>#REF!</v>
      </c>
    </row>
    <row r="69" spans="2:10" x14ac:dyDescent="0.25">
      <c r="B69" t="e">
        <f>#REF!</f>
        <v>#REF!</v>
      </c>
      <c r="C69" t="e">
        <f>RADIO_RxDone_DATA!#REF!</f>
        <v>#REF!</v>
      </c>
      <c r="D69" s="2" t="e">
        <f>RADIO_RxDone_DATA!#REF!</f>
        <v>#REF!</v>
      </c>
      <c r="E69" t="e">
        <f>RADIO_RxDone_DATA!#REF!</f>
        <v>#REF!</v>
      </c>
      <c r="F69" t="e">
        <f>RADIO_RxDone_DATA!#REF!</f>
        <v>#REF!</v>
      </c>
      <c r="G69" t="e">
        <f>RADIO_RxDone_DATA!#REF!</f>
        <v>#REF!</v>
      </c>
      <c r="H69" t="e">
        <f>RADIO_RxDone_DATA!#REF!</f>
        <v>#REF!</v>
      </c>
      <c r="I69" s="2" t="e">
        <f>RADIO_RxDone_DATA!#REF!</f>
        <v>#REF!</v>
      </c>
      <c r="J69" t="e">
        <f>RADIO_RxDone_DATA!#REF!</f>
        <v>#REF!</v>
      </c>
    </row>
    <row r="70" spans="2:10" x14ac:dyDescent="0.25">
      <c r="B70" t="e">
        <f>#REF!</f>
        <v>#REF!</v>
      </c>
      <c r="C70" t="e">
        <f>RADIO_RxDone_DATA!#REF!</f>
        <v>#REF!</v>
      </c>
      <c r="D70" s="2" t="e">
        <f>RADIO_RxDone_DATA!#REF!</f>
        <v>#REF!</v>
      </c>
      <c r="E70" t="e">
        <f>RADIO_RxDone_DATA!#REF!</f>
        <v>#REF!</v>
      </c>
      <c r="F70" t="e">
        <f>RADIO_RxDone_DATA!#REF!</f>
        <v>#REF!</v>
      </c>
      <c r="G70" t="e">
        <f>RADIO_RxDone_DATA!#REF!</f>
        <v>#REF!</v>
      </c>
      <c r="H70" t="e">
        <f>RADIO_RxDone_DATA!#REF!</f>
        <v>#REF!</v>
      </c>
      <c r="I70" s="2" t="e">
        <f>RADIO_RxDone_DATA!#REF!</f>
        <v>#REF!</v>
      </c>
      <c r="J70" t="e">
        <f>RADIO_RxDone_DATA!#REF!</f>
        <v>#REF!</v>
      </c>
    </row>
    <row r="71" spans="2:10" x14ac:dyDescent="0.25">
      <c r="B71" t="e">
        <f>#REF!</f>
        <v>#REF!</v>
      </c>
      <c r="C71" t="e">
        <f>RADIO_RxDone_DATA!#REF!</f>
        <v>#REF!</v>
      </c>
      <c r="D71" s="2" t="e">
        <f>RADIO_RxDone_DATA!#REF!</f>
        <v>#REF!</v>
      </c>
      <c r="E71" t="e">
        <f>RADIO_RxDone_DATA!#REF!</f>
        <v>#REF!</v>
      </c>
      <c r="F71" t="e">
        <f>RADIO_RxDone_DATA!#REF!</f>
        <v>#REF!</v>
      </c>
      <c r="G71" t="e">
        <f>RADIO_RxDone_DATA!#REF!</f>
        <v>#REF!</v>
      </c>
      <c r="H71" t="e">
        <f>RADIO_RxDone_DATA!#REF!</f>
        <v>#REF!</v>
      </c>
      <c r="I71" s="2" t="e">
        <f>RADIO_RxDone_DATA!#REF!</f>
        <v>#REF!</v>
      </c>
      <c r="J71" t="e">
        <f>RADIO_RxDone_DATA!#REF!</f>
        <v>#REF!</v>
      </c>
    </row>
    <row r="72" spans="2:10" x14ac:dyDescent="0.25">
      <c r="B72" t="e">
        <f>#REF!</f>
        <v>#REF!</v>
      </c>
      <c r="C72" t="e">
        <f>RADIO_RxDone_DATA!#REF!</f>
        <v>#REF!</v>
      </c>
      <c r="D72" s="2" t="e">
        <f>RADIO_RxDone_DATA!#REF!</f>
        <v>#REF!</v>
      </c>
      <c r="E72" t="e">
        <f>RADIO_RxDone_DATA!#REF!</f>
        <v>#REF!</v>
      </c>
      <c r="F72" t="e">
        <f>RADIO_RxDone_DATA!#REF!</f>
        <v>#REF!</v>
      </c>
      <c r="G72" t="e">
        <f>RADIO_RxDone_DATA!#REF!</f>
        <v>#REF!</v>
      </c>
      <c r="H72" t="e">
        <f>RADIO_RxDone_DATA!#REF!</f>
        <v>#REF!</v>
      </c>
      <c r="I72" s="2" t="e">
        <f>RADIO_RxDone_DATA!#REF!</f>
        <v>#REF!</v>
      </c>
      <c r="J72" t="e">
        <f>RADIO_RxDone_DATA!#REF!</f>
        <v>#REF!</v>
      </c>
    </row>
    <row r="73" spans="2:10" x14ac:dyDescent="0.25">
      <c r="B73" t="e">
        <f>#REF!</f>
        <v>#REF!</v>
      </c>
      <c r="C73" t="e">
        <f>RADIO_RxDone_DATA!#REF!</f>
        <v>#REF!</v>
      </c>
      <c r="D73" s="2" t="e">
        <f>RADIO_RxDone_DATA!#REF!</f>
        <v>#REF!</v>
      </c>
      <c r="E73" t="e">
        <f>RADIO_RxDone_DATA!#REF!</f>
        <v>#REF!</v>
      </c>
      <c r="F73" t="e">
        <f>RADIO_RxDone_DATA!#REF!</f>
        <v>#REF!</v>
      </c>
      <c r="G73" t="e">
        <f>RADIO_RxDone_DATA!#REF!</f>
        <v>#REF!</v>
      </c>
      <c r="H73" t="e">
        <f>RADIO_RxDone_DATA!#REF!</f>
        <v>#REF!</v>
      </c>
      <c r="I73" s="2" t="e">
        <f>RADIO_RxDone_DATA!#REF!</f>
        <v>#REF!</v>
      </c>
      <c r="J73" t="e">
        <f>RADIO_RxDone_DATA!#REF!</f>
        <v>#REF!</v>
      </c>
    </row>
    <row r="74" spans="2:10" x14ac:dyDescent="0.25">
      <c r="B74" t="e">
        <f>#REF!</f>
        <v>#REF!</v>
      </c>
      <c r="C74" t="e">
        <f>RADIO_RxDone_DATA!#REF!</f>
        <v>#REF!</v>
      </c>
      <c r="D74" s="2" t="e">
        <f>RADIO_RxDone_DATA!#REF!</f>
        <v>#REF!</v>
      </c>
      <c r="E74" t="e">
        <f>RADIO_RxDone_DATA!#REF!</f>
        <v>#REF!</v>
      </c>
      <c r="F74" t="e">
        <f>RADIO_RxDone_DATA!#REF!</f>
        <v>#REF!</v>
      </c>
      <c r="G74" t="e">
        <f>RADIO_RxDone_DATA!#REF!</f>
        <v>#REF!</v>
      </c>
      <c r="H74" t="e">
        <f>RADIO_RxDone_DATA!#REF!</f>
        <v>#REF!</v>
      </c>
      <c r="I74" s="2" t="e">
        <f>RADIO_RxDone_DATA!#REF!</f>
        <v>#REF!</v>
      </c>
      <c r="J74" t="e">
        <f>RADIO_RxDone_DATA!#REF!</f>
        <v>#REF!</v>
      </c>
    </row>
    <row r="75" spans="2:10" x14ac:dyDescent="0.25">
      <c r="B75" t="e">
        <f>#REF!</f>
        <v>#REF!</v>
      </c>
      <c r="C75" t="e">
        <f>RADIO_RxDone_DATA!#REF!</f>
        <v>#REF!</v>
      </c>
      <c r="D75" s="2" t="e">
        <f>RADIO_RxDone_DATA!#REF!</f>
        <v>#REF!</v>
      </c>
      <c r="E75" t="e">
        <f>RADIO_RxDone_DATA!#REF!</f>
        <v>#REF!</v>
      </c>
      <c r="F75" t="e">
        <f>RADIO_RxDone_DATA!#REF!</f>
        <v>#REF!</v>
      </c>
      <c r="G75" t="e">
        <f>RADIO_RxDone_DATA!#REF!</f>
        <v>#REF!</v>
      </c>
      <c r="H75" t="e">
        <f>RADIO_RxDone_DATA!#REF!</f>
        <v>#REF!</v>
      </c>
      <c r="I75" s="2" t="e">
        <f>RADIO_RxDone_DATA!#REF!</f>
        <v>#REF!</v>
      </c>
      <c r="J75" t="e">
        <f>RADIO_RxDone_DATA!#REF!</f>
        <v>#REF!</v>
      </c>
    </row>
    <row r="76" spans="2:10" x14ac:dyDescent="0.25">
      <c r="B76" t="e">
        <f>#REF!</f>
        <v>#REF!</v>
      </c>
      <c r="C76" t="e">
        <f>RADIO_RxDone_DATA!#REF!</f>
        <v>#REF!</v>
      </c>
      <c r="D76" s="2" t="e">
        <f>RADIO_RxDone_DATA!#REF!</f>
        <v>#REF!</v>
      </c>
      <c r="E76" t="e">
        <f>RADIO_RxDone_DATA!#REF!</f>
        <v>#REF!</v>
      </c>
      <c r="F76" t="e">
        <f>RADIO_RxDone_DATA!#REF!</f>
        <v>#REF!</v>
      </c>
      <c r="G76" t="e">
        <f>RADIO_RxDone_DATA!#REF!</f>
        <v>#REF!</v>
      </c>
      <c r="H76" t="e">
        <f>RADIO_RxDone_DATA!#REF!</f>
        <v>#REF!</v>
      </c>
      <c r="I76" s="2" t="e">
        <f>RADIO_RxDone_DATA!#REF!</f>
        <v>#REF!</v>
      </c>
      <c r="J76" t="e">
        <f>RADIO_RxDone_DATA!#REF!</f>
        <v>#REF!</v>
      </c>
    </row>
    <row r="77" spans="2:10" x14ac:dyDescent="0.25">
      <c r="B77" t="e">
        <f>#REF!</f>
        <v>#REF!</v>
      </c>
      <c r="C77">
        <f>RADIO_RxDone_DATA!C57</f>
        <v>0</v>
      </c>
      <c r="D77" s="2">
        <f>RADIO_RxDone_DATA!D57</f>
        <v>0</v>
      </c>
      <c r="E77">
        <f>RADIO_RxDone_DATA!E57</f>
        <v>0</v>
      </c>
      <c r="F77">
        <f>RADIO_RxDone_DATA!F57</f>
        <v>0</v>
      </c>
      <c r="G77" t="str">
        <f>RADIO_RxDone_DATA!G57</f>
        <v>uint8_t</v>
      </c>
      <c r="H77" t="str">
        <f>RADIO_RxDone_DATA!H57</f>
        <v>watchdogTimerId</v>
      </c>
      <c r="I77" s="2" t="str">
        <f>RADIO_RxDone_DATA!I57</f>
        <v>WATCHDOG_DEFAULT_TIME</v>
      </c>
      <c r="J77" t="str">
        <f>RADIO_RxDone_DATA!J57</f>
        <v>RADIO_WatchdogTimeout</v>
      </c>
    </row>
    <row r="78" spans="2:10" x14ac:dyDescent="0.25">
      <c r="B78" t="e">
        <f>#REF!</f>
        <v>#REF!</v>
      </c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2:10" x14ac:dyDescent="0.25">
      <c r="E79"/>
    </row>
  </sheetData>
  <hyperlinks>
    <hyperlink ref="B9" location="RADIO_RxDone_DATA!C1" display="LoRa_Rx_Done_DATA" xr:uid="{F13B102E-EDBF-4AC4-879E-B0282A16D4DF}"/>
  </hyperlink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15</vt:i4>
      </vt:variant>
    </vt:vector>
  </HeadingPairs>
  <TitlesOfParts>
    <vt:vector size="15" baseType="lpstr">
      <vt:lpstr>function</vt:lpstr>
      <vt:lpstr>LoRa_System_Init</vt:lpstr>
      <vt:lpstr>main</vt:lpstr>
      <vt:lpstr>LoRa_Send</vt:lpstr>
      <vt:lpstr>LoRa_Send_Header</vt:lpstr>
      <vt:lpstr>LoRa_TxDone</vt:lpstr>
      <vt:lpstr>LoRa_TimerHandshaking</vt:lpstr>
      <vt:lpstr>LoRa_TimerRetransmitCallback</vt:lpstr>
      <vt:lpstr>RADIO_RxDone</vt:lpstr>
      <vt:lpstr>LoRa_RxDone_OK</vt:lpstr>
      <vt:lpstr>LoRa_RxDone_Fail</vt:lpstr>
      <vt:lpstr>LoRa_TxDone_DATA</vt:lpstr>
      <vt:lpstr>RADIO_RxDone_DATA</vt:lpstr>
      <vt:lpstr>LoRa_RxDone_DATA_OK</vt:lpstr>
      <vt:lpstr>LoRa_RxDone_DATA_Fail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Kamil W</dc:creator>
  <cp:lastModifiedBy>Kamil W</cp:lastModifiedBy>
  <dcterms:created xsi:type="dcterms:W3CDTF">2019-11-29T09:05:01Z</dcterms:created>
  <dcterms:modified xsi:type="dcterms:W3CDTF">2019-12-07T15:26:27Z</dcterms:modified>
</cp:coreProperties>
</file>